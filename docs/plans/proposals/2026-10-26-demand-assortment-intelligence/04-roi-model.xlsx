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Levers" sheetId="2" state="visible" r:id="rId2"/>
    <sheet name="Costs" sheetId="3" state="visible" r:id="rId3"/>
    <sheet name="Scenarios" sheetId="4" state="visible" r:id="rId4"/>
    <sheet name="Growth" sheetId="5" state="visible" r:id="rId5"/>
    <sheet name="Sensitivity" sheetId="6" state="visible" r:id="rId6"/>
    <sheet name="Per-bra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[Red]-#,##0"/>
    <numFmt numFmtId="165" formatCode="0.0%"/>
    <numFmt numFmtId="166" formatCode="#,##0.0"/>
    <numFmt numFmtId="167" formatCode="0.0"/>
    <numFmt numFmtId="168" formatCode="0.000"/>
    <numFmt numFmtId="169" formatCode="0.00&quot;x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5" fontId="3" fillId="0" borderId="0" pivotButton="0" quotePrefix="0" xfId="0"/>
    <xf numFmtId="165" fontId="0" fillId="0" borderId="0" pivotButton="0" quotePrefix="0" xfId="0"/>
    <xf numFmtId="165" fontId="4" fillId="0" borderId="0" pivotButton="0" quotePrefix="0" xfId="0"/>
    <xf numFmtId="0" fontId="0" fillId="4" borderId="0" pivotButton="0" quotePrefix="0" xfId="0"/>
    <xf numFmtId="2" fontId="3" fillId="0" borderId="0" pivotButton="0" quotePrefix="0" xfId="0"/>
    <xf numFmtId="2" fontId="4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0" fontId="0" fillId="5" borderId="0" pivotButton="0" quotePrefix="0" xfId="0"/>
    <xf numFmtId="165" fontId="5" fillId="0" borderId="0" pivotButton="0" quotePrefix="0" xfId="0"/>
    <xf numFmtId="167" fontId="4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4" fontId="2" fillId="6" borderId="0" pivotButton="0" quotePrefix="0" xfId="0"/>
    <xf numFmtId="167" fontId="0" fillId="0" borderId="0" pivotButton="0" quotePrefix="0" xfId="0"/>
    <xf numFmtId="169" fontId="2" fillId="6" borderId="0" pivotButton="0" quotePrefix="0" xfId="0"/>
    <xf numFmtId="0" fontId="2" fillId="2" borderId="0" applyAlignment="1" pivotButton="0" quotePrefix="0" xfId="0">
      <alignment vertical="top" wrapText="1"/>
    </xf>
    <xf numFmtId="0" fontId="4" fillId="0" borderId="0" pivotButton="0" quotePrefix="0" xfId="0"/>
    <xf numFmtId="169" fontId="0" fillId="0" borderId="0" pivotButton="0" quotePrefix="0" xfId="0"/>
    <xf numFmtId="0" fontId="2" fillId="6" borderId="0" pivotButton="0" quotePrefix="0" xfId="0"/>
    <xf numFmtId="165" fontId="2" fillId="0" borderId="0" pivotButton="0" quotePrefix="0" xfId="0"/>
    <xf numFmtId="2" fontId="0" fillId="0" borderId="0" pivotButton="0" quotePrefix="0" xfId="0"/>
    <xf numFmtId="0" fontId="2" fillId="0" borderId="0" applyAlignment="1" pivotButton="0" quotePrefix="0" xfId="0">
      <alignment vertical="top" wrapText="1"/>
    </xf>
    <xf numFmtId="10" fontId="0" fillId="0" borderId="0" pivotButton="0" quotePrefix="0" xfId="0"/>
    <xf numFmtId="164" fontId="4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0" customWidth="1" min="2" max="2"/>
    <col width="13" customWidth="1" min="3" max="3"/>
    <col width="13" customWidth="1" min="4" max="4"/>
    <col width="13" customWidth="1" min="5" max="5"/>
    <col width="9" customWidth="1" min="6" max="6"/>
    <col width="13" customWidth="1" min="7" max="7"/>
    <col width="80" customWidth="1" min="8" max="8"/>
  </cols>
  <sheetData>
    <row r="1">
      <c r="A1" s="1" t="inlineStr">
        <is>
          <t>Inputs - every number used by the model</t>
        </is>
      </c>
    </row>
    <row r="2" ht="45" customHeight="1">
      <c r="A2" s="2" t="inlineStr">
        <is>
          <t>Blue cells are inputs; change them and every sheet recalculates. Green = DATA from 03, blue tint = BENCHMARK from 02b, yellow = ASSUMPTION (needs Finance or business confirmation). Single-value rows copy the Base value into Low and High. All money in USD.</t>
        </is>
      </c>
    </row>
    <row r="4">
      <c r="A4" s="3" t="inlineStr">
        <is>
          <t>Key</t>
        </is>
      </c>
      <c r="B4" s="3" t="inlineStr">
        <is>
          <t>Input</t>
        </is>
      </c>
      <c r="C4" s="3" t="inlineStr">
        <is>
          <t>Low</t>
        </is>
      </c>
      <c r="D4" s="3" t="inlineStr">
        <is>
          <t>Base</t>
        </is>
      </c>
      <c r="E4" s="3" t="inlineStr">
        <is>
          <t>High</t>
        </is>
      </c>
      <c r="F4" s="3" t="inlineStr">
        <is>
          <t>Unit</t>
        </is>
      </c>
      <c r="G4" s="3" t="inlineStr">
        <is>
          <t>Type</t>
        </is>
      </c>
      <c r="H4" s="3" t="inlineStr">
        <is>
          <t>Source / note</t>
        </is>
      </c>
    </row>
    <row r="5">
      <c r="A5" s="4" t="inlineStr">
        <is>
          <t>A. Internal baseline (TTM 2025-10-22 to 2026-10-21)</t>
        </is>
      </c>
    </row>
    <row r="6">
      <c r="A6" s="5" t="inlineStr">
        <is>
          <t>rev_gross</t>
        </is>
      </c>
      <c r="B6" s="2" t="inlineStr">
        <is>
          <t>GCC gross revenue, incl VAT</t>
        </is>
      </c>
      <c r="C6" s="6">
        <f>D6</f>
        <v/>
      </c>
      <c r="D6" s="7" t="n">
        <v>13390000</v>
      </c>
      <c r="E6" s="6">
        <f>D6</f>
        <v/>
      </c>
      <c r="F6" t="inlineStr">
        <is>
          <t>USD/yr</t>
        </is>
      </c>
      <c r="G6" s="8" t="inlineStr">
        <is>
          <t>DATA</t>
        </is>
      </c>
      <c r="H6" s="2" t="inlineStr">
        <is>
          <t>03-baseline-metrics.md, summary table, GCC total</t>
        </is>
      </c>
    </row>
    <row r="7">
      <c r="A7" s="5" t="inlineStr">
        <is>
          <t>rev_soft</t>
        </is>
      </c>
      <c r="B7" s="2" t="inlineStr">
        <is>
          <t>Softline gross revenue, incl VAT</t>
        </is>
      </c>
      <c r="C7" s="6">
        <f>D7</f>
        <v/>
      </c>
      <c r="D7" s="7" t="n">
        <v>8460000</v>
      </c>
      <c r="E7" s="6">
        <f>D7</f>
        <v/>
      </c>
      <c r="F7" t="inlineStr">
        <is>
          <t>USD/yr</t>
        </is>
      </c>
      <c r="G7" s="8" t="inlineStr">
        <is>
          <t>DATA</t>
        </is>
      </c>
      <c r="H7" s="2" t="inlineStr">
        <is>
          <t>03-baseline-metrics.md, summary table, softline total (9 brands)</t>
        </is>
      </c>
    </row>
    <row r="8">
      <c r="A8" s="5" t="inlineStr">
        <is>
          <t>rev_hard</t>
        </is>
      </c>
      <c r="B8" s="2" t="inlineStr">
        <is>
          <t>Hardline gross revenue, incl VAT</t>
        </is>
      </c>
      <c r="C8" s="6">
        <f>D8</f>
        <v/>
      </c>
      <c r="D8" s="7" t="n">
        <v>4930000</v>
      </c>
      <c r="E8" s="6">
        <f>D8</f>
        <v/>
      </c>
      <c r="F8" t="inlineStr">
        <is>
          <t>USD/yr</t>
        </is>
      </c>
      <c r="G8" s="8" t="inlineStr">
        <is>
          <t>DATA</t>
        </is>
      </c>
      <c r="H8" s="2" t="inlineStr">
        <is>
          <t>03-baseline-metrics.md, summary table, hardline total (9 brands)</t>
        </is>
      </c>
    </row>
    <row r="9">
      <c r="A9" s="5" t="inlineStr">
        <is>
          <t>rev_net</t>
        </is>
      </c>
      <c r="B9" s="2" t="inlineStr">
        <is>
          <t>GCC net revenue after cancellations and returns, incl VAT</t>
        </is>
      </c>
      <c r="C9" s="6">
        <f>D9</f>
        <v/>
      </c>
      <c r="D9" s="7" t="n">
        <v>12040000</v>
      </c>
      <c r="E9" s="6">
        <f>D9</f>
        <v/>
      </c>
      <c r="F9" t="inlineStr">
        <is>
          <t>USD/yr</t>
        </is>
      </c>
      <c r="G9" s="8" t="inlineStr">
        <is>
          <t>DATA</t>
        </is>
      </c>
      <c r="H9" s="2" t="inlineStr">
        <is>
          <t>03-baseline-metrics.md, summary table, GCC total net</t>
        </is>
      </c>
    </row>
    <row r="10">
      <c r="A10" s="5" t="inlineStr">
        <is>
          <t>rev_soft_net</t>
        </is>
      </c>
      <c r="B10" s="2" t="inlineStr">
        <is>
          <t>Softline net revenue, incl VAT</t>
        </is>
      </c>
      <c r="C10" s="6">
        <f>D10</f>
        <v/>
      </c>
      <c r="D10" s="7" t="n">
        <v>7140000</v>
      </c>
      <c r="E10" s="6">
        <f>D10</f>
        <v/>
      </c>
      <c r="F10" t="inlineStr">
        <is>
          <t>USD/yr</t>
        </is>
      </c>
      <c r="G10" s="8" t="inlineStr">
        <is>
          <t>DATA</t>
        </is>
      </c>
      <c r="H10" s="2" t="inlineStr">
        <is>
          <t>03-baseline-metrics.md, summary table, softline net</t>
        </is>
      </c>
    </row>
    <row r="11">
      <c r="A11" s="5" t="inlineStr">
        <is>
          <t>ret_rate</t>
        </is>
      </c>
      <c r="B11" s="2" t="inlineStr">
        <is>
          <t>Cancellation plus return rate (value) = 1 - net/gross</t>
        </is>
      </c>
      <c r="C11" s="9">
        <f>D11</f>
        <v/>
      </c>
      <c r="D11" s="10">
        <f>1-D9/D6</f>
        <v/>
      </c>
      <c r="E11" s="9">
        <f>D11</f>
        <v/>
      </c>
      <c r="F11" t="inlineStr">
        <is>
          <t>%</t>
        </is>
      </c>
      <c r="G11" s="8" t="inlineStr">
        <is>
          <t>DATA</t>
        </is>
      </c>
      <c r="H11" s="2" t="inlineStr">
        <is>
          <t>Derived from the two rows above</t>
        </is>
      </c>
    </row>
    <row r="12">
      <c r="A12" s="5" t="inlineStr">
        <is>
          <t>stock_asp</t>
        </is>
      </c>
      <c r="B12" s="2" t="inlineStr">
        <is>
          <t>Stock on hand, valued at selling price incl VAT</t>
        </is>
      </c>
      <c r="C12" s="6">
        <f>D12</f>
        <v/>
      </c>
      <c r="D12" s="7" t="n">
        <v>6480000</v>
      </c>
      <c r="E12" s="6">
        <f>D12</f>
        <v/>
      </c>
      <c r="F12" t="inlineStr">
        <is>
          <t>USD</t>
        </is>
      </c>
      <c r="G12" s="8" t="inlineStr">
        <is>
          <t>DATA</t>
        </is>
      </c>
      <c r="H12" s="2" t="inlineStr">
        <is>
          <t>03-baseline-metrics.md, summary table (all unified_inventory sources)</t>
        </is>
      </c>
    </row>
    <row r="13">
      <c r="A13" s="5" t="inlineStr">
        <is>
          <t>stock_units</t>
        </is>
      </c>
      <c r="B13" s="2" t="inlineStr">
        <is>
          <t>Stock on hand, units</t>
        </is>
      </c>
      <c r="C13" s="6">
        <f>D13</f>
        <v/>
      </c>
      <c r="D13" s="7" t="n">
        <v>155074</v>
      </c>
      <c r="E13" s="6">
        <f>D13</f>
        <v/>
      </c>
      <c r="F13" t="inlineStr">
        <is>
          <t>units</t>
        </is>
      </c>
      <c r="G13" s="8" t="inlineStr">
        <is>
          <t>DATA</t>
        </is>
      </c>
      <c r="H13" s="2" t="inlineStr">
        <is>
          <t>03-baseline-metrics.md, summary table</t>
        </is>
      </c>
    </row>
    <row r="14">
      <c r="A14" s="5" t="inlineStr">
        <is>
          <t>st_90d</t>
        </is>
      </c>
      <c r="B14" s="2" t="inlineStr">
        <is>
          <t>Sell-through, last 90 days (GCC)</t>
        </is>
      </c>
      <c r="C14" s="9">
        <f>D14</f>
        <v/>
      </c>
      <c r="D14" s="11" t="n">
        <v>0.4</v>
      </c>
      <c r="E14" s="9">
        <f>D14</f>
        <v/>
      </c>
      <c r="F14" t="inlineStr">
        <is>
          <t>%</t>
        </is>
      </c>
      <c r="G14" s="8" t="inlineStr">
        <is>
          <t>DATA</t>
        </is>
      </c>
      <c r="H14" s="2" t="inlineStr">
        <is>
          <t>03-baseline-metrics.md, summary table</t>
        </is>
      </c>
    </row>
    <row r="15">
      <c r="A15" s="5" t="inlineStr">
        <is>
          <t>aged180</t>
        </is>
      </c>
      <c r="B15" s="2" t="inlineStr">
        <is>
          <t>Stock value over 180 days since receipt (upper bound proxy)</t>
        </is>
      </c>
      <c r="C15" s="6">
        <f>D15</f>
        <v/>
      </c>
      <c r="D15" s="7" t="n">
        <v>2690000</v>
      </c>
      <c r="E15" s="6">
        <f>D15</f>
        <v/>
      </c>
      <c r="F15" t="inlineStr">
        <is>
          <t>USD</t>
        </is>
      </c>
      <c r="G15" s="8" t="inlineStr">
        <is>
          <t>DATA</t>
        </is>
      </c>
      <c r="H15" s="2" t="inlineStr">
        <is>
          <t>03-baseline-metrics.md, ageing table, GCC total; caveat 5 says upper bound</t>
        </is>
      </c>
    </row>
    <row r="16">
      <c r="A16" s="5" t="inlineStr">
        <is>
          <t>lost_daily</t>
        </is>
      </c>
      <c r="B16" s="2" t="inlineStr">
        <is>
          <t>Stock-out proxy, softline demand on zero-stock SKU-locations (upper bound)</t>
        </is>
      </c>
      <c r="C16" s="6">
        <f>D16</f>
        <v/>
      </c>
      <c r="D16" s="7" t="n">
        <v>6666</v>
      </c>
      <c r="E16" s="6">
        <f>D16</f>
        <v/>
      </c>
      <c r="F16" t="inlineStr">
        <is>
          <t>USD/day</t>
        </is>
      </c>
      <c r="G16" s="8" t="inlineStr">
        <is>
          <t>DATA</t>
        </is>
      </c>
      <c r="H16" s="2" t="inlineStr">
        <is>
          <t>03-baseline-metrics.md, stock and stock-out table, softline total</t>
        </is>
      </c>
    </row>
    <row r="17">
      <c r="A17" s="5" t="inlineStr">
        <is>
          <t>lost_anchor</t>
        </is>
      </c>
      <c r="B17" s="2" t="inlineStr">
        <is>
          <t>Stock-out proxy, lower anchor (locations selling 0.2+ units a day)</t>
        </is>
      </c>
      <c r="C17" s="6">
        <f>D17</f>
        <v/>
      </c>
      <c r="D17" s="7" t="n">
        <v>1376</v>
      </c>
      <c r="E17" s="6">
        <f>D17</f>
        <v/>
      </c>
      <c r="F17" t="inlineStr">
        <is>
          <t>USD/day</t>
        </is>
      </c>
      <c r="G17" s="8" t="inlineStr">
        <is>
          <t>DATA</t>
        </is>
      </c>
      <c r="H17" s="2" t="inlineStr">
        <is>
          <t>03-baseline-metrics.md, split of stock-out proxy (query R1b)</t>
        </is>
      </c>
    </row>
    <row r="18">
      <c r="A18" s="5" t="inlineStr">
        <is>
          <t>sizefit</t>
        </is>
      </c>
      <c r="B18" s="2" t="inlineStr">
        <is>
          <t>Namshi size or fit returns, at listing price</t>
        </is>
      </c>
      <c r="C18" s="6">
        <f>D18</f>
        <v/>
      </c>
      <c r="D18" s="7" t="n">
        <v>682000</v>
      </c>
      <c r="E18" s="6">
        <f>D18</f>
        <v/>
      </c>
      <c r="F18" t="inlineStr">
        <is>
          <t>USD/yr</t>
        </is>
      </c>
      <c r="G18" s="8" t="inlineStr">
        <is>
          <t>DATA</t>
        </is>
      </c>
      <c r="H18" s="2" t="inlineStr">
        <is>
          <t>03-baseline-metrics.md, returns section (DD9 method)</t>
        </is>
      </c>
    </row>
    <row r="19">
      <c r="A19" s="5" t="inlineStr">
        <is>
          <t>g_soft</t>
        </is>
      </c>
      <c r="B19" s="2" t="inlineStr">
        <is>
          <t>Softline unit growth, last 6 months vs previous 6</t>
        </is>
      </c>
      <c r="C19" s="9">
        <f>D19</f>
        <v/>
      </c>
      <c r="D19" s="11" t="n">
        <v>0.25</v>
      </c>
      <c r="E19" s="9">
        <f>D19</f>
        <v/>
      </c>
      <c r="F19" t="inlineStr">
        <is>
          <t>%</t>
        </is>
      </c>
      <c r="G19" s="8" t="inlineStr">
        <is>
          <t>DATA</t>
        </is>
      </c>
      <c r="H19" s="2" t="inlineStr">
        <is>
          <t>03-baseline-metrics.md, summary table; includes launches</t>
        </is>
      </c>
    </row>
    <row r="20">
      <c r="A20" s="5" t="inlineStr">
        <is>
          <t>g_gcc</t>
        </is>
      </c>
      <c r="B20" s="2" t="inlineStr">
        <is>
          <t>GCC unit growth, last 6 months vs previous 6</t>
        </is>
      </c>
      <c r="C20" s="9">
        <f>D20</f>
        <v/>
      </c>
      <c r="D20" s="11" t="n">
        <v>0.49</v>
      </c>
      <c r="E20" s="9">
        <f>D20</f>
        <v/>
      </c>
      <c r="F20" t="inlineStr">
        <is>
          <t>%</t>
        </is>
      </c>
      <c r="G20" s="8" t="inlineStr">
        <is>
          <t>DATA</t>
        </is>
      </c>
      <c r="H20" s="2" t="inlineStr">
        <is>
          <t>03-baseline-metrics.md, summary table; includes brand launches and new channels</t>
        </is>
      </c>
    </row>
    <row r="21">
      <c r="A21" s="5" t="inlineStr">
        <is>
          <t>g_uspa</t>
        </is>
      </c>
      <c r="B21" s="2" t="inlineStr">
        <is>
          <t>U.S. Polo Assn. unit growth, last 6 months vs previous 6 (closest to like-for-like)</t>
        </is>
      </c>
      <c r="C21" s="9">
        <f>D21</f>
        <v/>
      </c>
      <c r="D21" s="11" t="n">
        <v>-0.01</v>
      </c>
      <c r="E21" s="9">
        <f>D21</f>
        <v/>
      </c>
      <c r="F21" t="inlineStr">
        <is>
          <t>%</t>
        </is>
      </c>
      <c r="G21" s="8" t="inlineStr">
        <is>
          <t>DATA</t>
        </is>
      </c>
      <c r="H21" s="2" t="inlineStr">
        <is>
          <t>03-baseline-metrics.md, summary table</t>
        </is>
      </c>
    </row>
    <row r="22">
      <c r="A22" s="4" t="inlineStr">
        <is>
          <t>B. Financial assumptions</t>
        </is>
      </c>
    </row>
    <row r="23">
      <c r="A23" s="5" t="inlineStr">
        <is>
          <t>vat</t>
        </is>
      </c>
      <c r="B23" s="2" t="inlineStr">
        <is>
          <t>Blended VAT rate in gross revenue (UAE 5%, KSA 15%)</t>
        </is>
      </c>
      <c r="C23" s="9">
        <f>D23</f>
        <v/>
      </c>
      <c r="D23" s="11" t="n">
        <v>0.1</v>
      </c>
      <c r="E23" s="9">
        <f>D23</f>
        <v/>
      </c>
      <c r="F23" t="inlineStr">
        <is>
          <t>%</t>
        </is>
      </c>
      <c r="G23" s="12" t="inlineStr">
        <is>
          <t>ASSUMPTION</t>
        </is>
      </c>
      <c r="H23" s="2" t="inlineStr">
        <is>
          <t>Country mix not in 03; about half KSA assumed. Gross is incl VAT (03 definitions)</t>
        </is>
      </c>
    </row>
    <row r="24">
      <c r="A24" s="5" t="inlineStr">
        <is>
          <t>gm</t>
        </is>
      </c>
      <c r="B24" s="2" t="inlineStr">
        <is>
          <t>Gross margin, % of net revenue ex VAT (price minus landed cost)</t>
        </is>
      </c>
      <c r="C24" s="11" t="n">
        <v>0.35</v>
      </c>
      <c r="D24" s="11" t="n">
        <v>0.4</v>
      </c>
      <c r="E24" s="11" t="n">
        <v>0.45</v>
      </c>
      <c r="F24" t="inlineStr">
        <is>
          <t>%</t>
        </is>
      </c>
      <c r="G24" s="12" t="inlineStr">
        <is>
          <t>ASSUMPTION</t>
        </is>
      </c>
      <c r="H24" s="2" t="inlineStr">
        <is>
          <t>Brand distributor on marketplaces; no unit cost usable in the warehouse (03 caveat 6). Finance to confirm</t>
        </is>
      </c>
    </row>
    <row r="25">
      <c r="A25" s="5" t="inlineStr">
        <is>
          <t>var_cost</t>
        </is>
      </c>
      <c r="B25" s="2" t="inlineStr">
        <is>
          <t>Variable selling cost on extra sales (marketplace commission share, fulfilment), % of net ex VAT</t>
        </is>
      </c>
      <c r="C25" s="9">
        <f>D25</f>
        <v/>
      </c>
      <c r="D25" s="11" t="n">
        <v>0.15</v>
      </c>
      <c r="E25" s="9">
        <f>D25</f>
        <v/>
      </c>
      <c r="F25" t="inlineStr">
        <is>
          <t>%</t>
        </is>
      </c>
      <c r="G25" s="12" t="inlineStr">
        <is>
          <t>ASSUMPTION</t>
        </is>
      </c>
      <c r="H25" s="2" t="inlineStr">
        <is>
          <t>Conservative; recovered sales valued at gross margin less this</t>
        </is>
      </c>
    </row>
    <row r="26">
      <c r="A26" s="5" t="inlineStr">
        <is>
          <t>coc</t>
        </is>
      </c>
      <c r="B26" s="2" t="inlineStr">
        <is>
          <t>Cost of capital, used to value cash tied in stock</t>
        </is>
      </c>
      <c r="C26" s="11" t="n">
        <v>0.1</v>
      </c>
      <c r="D26" s="11" t="n">
        <v>0.12</v>
      </c>
      <c r="E26" s="11" t="n">
        <v>0.15</v>
      </c>
      <c r="F26" t="inlineStr">
        <is>
          <t>%/yr</t>
        </is>
      </c>
      <c r="G26" s="12" t="inlineStr">
        <is>
          <t>ASSUMPTION</t>
        </is>
      </c>
      <c r="H26" s="2" t="inlineStr">
        <is>
          <t>Typical GCC/India mid-size company WACC; Finance to confirm</t>
        </is>
      </c>
    </row>
    <row r="27">
      <c r="A27" s="5" t="inlineStr">
        <is>
          <t>dr</t>
        </is>
      </c>
      <c r="B27" s="2" t="inlineStr">
        <is>
          <t>Discount rate for NPV</t>
        </is>
      </c>
      <c r="C27" s="9">
        <f>D27</f>
        <v/>
      </c>
      <c r="D27" s="11" t="n">
        <v>0.12</v>
      </c>
      <c r="E27" s="9">
        <f>D27</f>
        <v/>
      </c>
      <c r="F27" t="inlineStr">
        <is>
          <t>%/yr</t>
        </is>
      </c>
      <c r="G27" s="12" t="inlineStr">
        <is>
          <t>ASSUMPTION</t>
        </is>
      </c>
      <c r="H27" s="2" t="inlineStr">
        <is>
          <t>Set equal to cost of capital base</t>
        </is>
      </c>
    </row>
    <row r="28">
      <c r="A28" s="5" t="inlineStr">
        <is>
          <t>md_pct</t>
        </is>
      </c>
      <c r="B28" s="2" t="inlineStr">
        <is>
          <t>Markdown and ageing write-down cost borne by Opptra, % of net revenue ex VAT</t>
        </is>
      </c>
      <c r="C28" s="11" t="n">
        <v>0.06</v>
      </c>
      <c r="D28" s="11" t="n">
        <v>0.1</v>
      </c>
      <c r="E28" s="11" t="n">
        <v>0.15</v>
      </c>
      <c r="F28" t="inlineStr">
        <is>
          <t>%</t>
        </is>
      </c>
      <c r="G28" s="12" t="inlineStr">
        <is>
          <t>ASSUMPTION</t>
        </is>
      </c>
      <c r="H28" s="2" t="inlineStr">
        <is>
          <t>02b B3 illustrates 15-25% of gross sales and 05 uses 20%; kept lower because marketplaces fund part of promotions. Cross-check: aged stock row on Levers</t>
        </is>
      </c>
    </row>
    <row r="29">
      <c r="A29" s="5" t="inlineStr">
        <is>
          <t>clear_disc</t>
        </is>
      </c>
      <c r="B29" s="2" t="inlineStr">
        <is>
          <t>Clearance discount on stock over 180 days (cross-check only)</t>
        </is>
      </c>
      <c r="C29" s="9">
        <f>D29</f>
        <v/>
      </c>
      <c r="D29" s="11" t="n">
        <v>0.4</v>
      </c>
      <c r="E29" s="9">
        <f>D29</f>
        <v/>
      </c>
      <c r="F29" t="inlineStr">
        <is>
          <t>%</t>
        </is>
      </c>
      <c r="G29" s="12" t="inlineStr">
        <is>
          <t>ASSUMPTION</t>
        </is>
      </c>
      <c r="H29" s="2" t="inlineStr">
        <is>
          <t>Used only to sanity-check md_pct</t>
        </is>
      </c>
    </row>
    <row r="30">
      <c r="A30" s="5" t="inlineStr">
        <is>
          <t>ret_handling</t>
        </is>
      </c>
      <c r="B30" s="2" t="inlineStr">
        <is>
          <t>Cost of handling one returned USD (reverse logistics, marketplace return fees, damage)</t>
        </is>
      </c>
      <c r="C30" s="9">
        <f>D30</f>
        <v/>
      </c>
      <c r="D30" s="11" t="n">
        <v>0.15</v>
      </c>
      <c r="E30" s="9">
        <f>D30</f>
        <v/>
      </c>
      <c r="F30" t="inlineStr">
        <is>
          <t>%</t>
        </is>
      </c>
      <c r="G30" s="12" t="inlineStr">
        <is>
          <t>ASSUMPTION</t>
        </is>
      </c>
      <c r="H30" s="2" t="inlineStr">
        <is>
          <t>No GCC figure in 02b A5; Finance to confirm from Namshi settlement reports</t>
        </is>
      </c>
    </row>
    <row r="31">
      <c r="A31" s="5" t="inlineStr">
        <is>
          <t>keep_share</t>
        </is>
      </c>
      <c r="B31" s="2" t="inlineStr">
        <is>
          <t>Share of avoided size returns that become kept sales</t>
        </is>
      </c>
      <c r="C31" s="9">
        <f>D31</f>
        <v/>
      </c>
      <c r="D31" s="11" t="n">
        <v>0.5</v>
      </c>
      <c r="E31" s="9">
        <f>D31</f>
        <v/>
      </c>
      <c r="F31" t="inlineStr">
        <is>
          <t>%</t>
        </is>
      </c>
      <c r="G31" s="12" t="inlineStr">
        <is>
          <t>ASSUMPTION</t>
        </is>
      </c>
      <c r="H31" s="2" t="inlineStr">
        <is>
          <t>Rest are orders that simply do not happen</t>
        </is>
      </c>
    </row>
    <row r="32">
      <c r="A32" s="5" t="inlineStr">
        <is>
          <t>hard_factor</t>
        </is>
      </c>
      <c r="B32" s="2" t="inlineStr">
        <is>
          <t>Hardline stock-out intensity vs softline (per USD of revenue)</t>
        </is>
      </c>
      <c r="C32" s="13">
        <f>D32</f>
        <v/>
      </c>
      <c r="D32" s="14" t="n">
        <v>0.5</v>
      </c>
      <c r="E32" s="13">
        <f>D32</f>
        <v/>
      </c>
      <c r="F32" t="inlineStr">
        <is>
          <t>x</t>
        </is>
      </c>
      <c r="G32" s="12" t="inlineStr">
        <is>
          <t>ASSUMPTION</t>
        </is>
      </c>
      <c r="H32" s="2" t="inlineStr">
        <is>
          <t>Replen run covers softline only (03 caveat 9); hardline has few SKUs and 48% sell-through, so assumed half</t>
        </is>
      </c>
    </row>
    <row r="33">
      <c r="A33" s="5" t="inlineStr">
        <is>
          <t>planners</t>
        </is>
      </c>
      <c r="B33" s="2" t="inlineStr">
        <is>
          <t>People doing forecasting and buy planning (FTE)</t>
        </is>
      </c>
      <c r="C33" s="15">
        <f>D33</f>
        <v/>
      </c>
      <c r="D33" s="16" t="n">
        <v>4</v>
      </c>
      <c r="E33" s="15">
        <f>D33</f>
        <v/>
      </c>
      <c r="F33" t="inlineStr">
        <is>
          <t>FTE</t>
        </is>
      </c>
      <c r="G33" s="12" t="inlineStr">
        <is>
          <t>ASSUMPTION</t>
        </is>
      </c>
      <c r="H33" s="2" t="inlineStr">
        <is>
          <t>Ashish, Mahesh plus buyers/brand managers (06 section 4)</t>
        </is>
      </c>
    </row>
    <row r="34">
      <c r="A34" s="5" t="inlineStr">
        <is>
          <t>planner_cost</t>
        </is>
      </c>
      <c r="B34" s="2" t="inlineStr">
        <is>
          <t>Loaded cost per planner, GCC</t>
        </is>
      </c>
      <c r="C34" s="6">
        <f>D34</f>
        <v/>
      </c>
      <c r="D34" s="7" t="n">
        <v>55000</v>
      </c>
      <c r="E34" s="6">
        <f>D34</f>
        <v/>
      </c>
      <c r="F34" t="inlineStr">
        <is>
          <t>USD/yr</t>
        </is>
      </c>
      <c r="G34" s="12" t="inlineStr">
        <is>
          <t>ASSUMPTION</t>
        </is>
      </c>
      <c r="H34" s="2" t="inlineStr">
        <is>
          <t>05 section 4.1, GCC planning analyst loaded rate</t>
        </is>
      </c>
    </row>
    <row r="35">
      <c r="A35" s="5" t="inlineStr">
        <is>
          <t>manual_share</t>
        </is>
      </c>
      <c r="B35" s="2" t="inlineStr">
        <is>
          <t>Share of planner time spent on manual forecasting and spreadsheet buy plans</t>
        </is>
      </c>
      <c r="C35" s="9">
        <f>D35</f>
        <v/>
      </c>
      <c r="D35" s="11" t="n">
        <v>0.3</v>
      </c>
      <c r="E35" s="9">
        <f>D35</f>
        <v/>
      </c>
      <c r="F35" t="inlineStr">
        <is>
          <t>%</t>
        </is>
      </c>
      <c r="G35" s="12" t="inlineStr">
        <is>
          <t>ASSUMPTION</t>
        </is>
      </c>
      <c r="H35" s="2" t="inlineStr">
        <is>
          <t>Not measured; check in Phase 0</t>
        </is>
      </c>
    </row>
    <row r="36">
      <c r="A36" s="5" t="inlineStr">
        <is>
          <t>new_share</t>
        </is>
      </c>
      <c r="B36" s="2" t="inlineStr">
        <is>
          <t>Share of softline revenue from styles in their first season</t>
        </is>
      </c>
      <c r="C36" s="9">
        <f>D36</f>
        <v/>
      </c>
      <c r="D36" s="11" t="n">
        <v>0.3</v>
      </c>
      <c r="E36" s="9">
        <f>D36</f>
        <v/>
      </c>
      <c r="F36" t="inlineStr">
        <is>
          <t>%</t>
        </is>
      </c>
      <c r="G36" s="12" t="inlineStr">
        <is>
          <t>ASSUMPTION</t>
        </is>
      </c>
      <c r="H36" s="2" t="inlineStr">
        <is>
          <t>03 new-styles table shows steady new-style drops; not measured as revenue</t>
        </is>
      </c>
    </row>
    <row r="37">
      <c r="A37" s="5" t="inlineStr">
        <is>
          <t>uplift_pt</t>
        </is>
      </c>
      <c r="B37" s="2" t="inlineStr">
        <is>
          <t>Revenue uplift on new styles per hit-rate point</t>
        </is>
      </c>
      <c r="C37" s="9">
        <f>D37</f>
        <v/>
      </c>
      <c r="D37" s="11" t="n">
        <v>0.01</v>
      </c>
      <c r="E37" s="9">
        <f>D37</f>
        <v/>
      </c>
      <c r="F37" t="inlineStr">
        <is>
          <t>%/pt</t>
        </is>
      </c>
      <c r="G37" s="12" t="inlineStr">
        <is>
          <t>ASSUMPTION</t>
        </is>
      </c>
      <c r="H37" s="2" t="inlineStr">
        <is>
          <t>1 point more hits = 1% more new-style revenue</t>
        </is>
      </c>
    </row>
    <row r="38">
      <c r="A38" s="5" t="inlineStr">
        <is>
          <t>growth_cap</t>
        </is>
      </c>
      <c r="B38" s="2" t="inlineStr">
        <is>
          <t>Cap on annual growth used in Growth sheet</t>
        </is>
      </c>
      <c r="C38" s="9">
        <f>D38</f>
        <v/>
      </c>
      <c r="D38" s="11" t="n">
        <v>0.1</v>
      </c>
      <c r="E38" s="9">
        <f>D38</f>
        <v/>
      </c>
      <c r="F38" t="inlineStr">
        <is>
          <t>%/yr</t>
        </is>
      </c>
      <c r="G38" s="12" t="inlineStr">
        <is>
          <t>ASSUMPTION</t>
        </is>
      </c>
      <c r="H38" s="2" t="inlineStr">
        <is>
          <t>Conservative cap; observed unit growth is mostly launches (03 caveat 2)</t>
        </is>
      </c>
    </row>
    <row r="39">
      <c r="A39" s="5" t="inlineStr">
        <is>
          <t>cost_mult</t>
        </is>
      </c>
      <c r="B39" s="2" t="inlineStr">
        <is>
          <t>Cost multiplier on 05 Option D cost</t>
        </is>
      </c>
      <c r="C39" s="14" t="n">
        <v>1.22</v>
      </c>
      <c r="D39" s="14" t="n">
        <v>1</v>
      </c>
      <c r="E39" s="14" t="n">
        <v>1</v>
      </c>
      <c r="F39" t="inlineStr">
        <is>
          <t>x</t>
        </is>
      </c>
      <c r="G39" s="12" t="inlineStr">
        <is>
          <t>ASSUMPTION</t>
        </is>
      </c>
      <c r="H39" s="2" t="inlineStr">
        <is>
          <t>Low = top of 05 range (USD 832k / 680k); high case does not assume cheaper delivery</t>
        </is>
      </c>
    </row>
    <row r="40">
      <c r="A40" s="5" t="inlineStr">
        <is>
          <t>ramp1</t>
        </is>
      </c>
      <c r="B40" s="2" t="inlineStr">
        <is>
          <t>Adoption / realisation, year 1 (pilot first)</t>
        </is>
      </c>
      <c r="C40" s="11" t="n">
        <v>0.25</v>
      </c>
      <c r="D40" s="11" t="n">
        <v>0.3</v>
      </c>
      <c r="E40" s="11" t="n">
        <v>0.4</v>
      </c>
      <c r="F40" t="inlineStr">
        <is>
          <t>%</t>
        </is>
      </c>
      <c r="G40" s="12" t="inlineStr">
        <is>
          <t>ASSUMPTION</t>
        </is>
      </c>
      <c r="H40" s="2" t="inlineStr">
        <is>
          <t>05 section 5 ramp 30/70/100; pilot Dec 2026 - Apr 2027 on 3 brands (06 section 11)</t>
        </is>
      </c>
    </row>
    <row r="41">
      <c r="A41" s="5" t="inlineStr">
        <is>
          <t>ramp2</t>
        </is>
      </c>
      <c r="B41" s="2" t="inlineStr">
        <is>
          <t>Adoption / realisation, year 2</t>
        </is>
      </c>
      <c r="C41" s="11" t="n">
        <v>0.55</v>
      </c>
      <c r="D41" s="11" t="n">
        <v>0.7</v>
      </c>
      <c r="E41" s="11" t="n">
        <v>0.85</v>
      </c>
      <c r="F41" t="inlineStr">
        <is>
          <t>%</t>
        </is>
      </c>
      <c r="G41" s="12" t="inlineStr">
        <is>
          <t>ASSUMPTION</t>
        </is>
      </c>
      <c r="H41" s="2" t="inlineStr">
        <is>
          <t>05 section 5</t>
        </is>
      </c>
    </row>
    <row r="42">
      <c r="A42" s="5" t="inlineStr">
        <is>
          <t>ramp3</t>
        </is>
      </c>
      <c r="B42" s="2" t="inlineStr">
        <is>
          <t>Adoption / realisation, year 3</t>
        </is>
      </c>
      <c r="C42" s="11" t="n">
        <v>0.85</v>
      </c>
      <c r="D42" s="11" t="n">
        <v>1</v>
      </c>
      <c r="E42" s="11" t="n">
        <v>1</v>
      </c>
      <c r="F42" t="inlineStr">
        <is>
          <t>%</t>
        </is>
      </c>
      <c r="G42" s="12" t="inlineStr">
        <is>
          <t>ASSUMPTION</t>
        </is>
      </c>
      <c r="H42" s="2" t="inlineStr">
        <is>
          <t>05 section 5</t>
        </is>
      </c>
    </row>
    <row r="43">
      <c r="A43" s="5" t="inlineStr">
        <is>
          <t>haircut</t>
        </is>
      </c>
      <c r="B43" s="2" t="inlineStr">
        <is>
          <t>Overlap haircut on levers a+b+c (stock-outs and inventory trade off)</t>
        </is>
      </c>
      <c r="C43" s="11" t="n">
        <v>0.3</v>
      </c>
      <c r="D43" s="11" t="n">
        <v>0.2</v>
      </c>
      <c r="E43" s="11" t="n">
        <v>0.1</v>
      </c>
      <c r="F43" t="inlineStr">
        <is>
          <t>%</t>
        </is>
      </c>
      <c r="G43" s="12" t="inlineStr">
        <is>
          <t>ASSUMPTION</t>
        </is>
      </c>
      <c r="H43" s="2" t="inlineStr">
        <is>
          <t>02b B2 point 5: do not add all levers together</t>
        </is>
      </c>
    </row>
    <row r="44">
      <c r="A44" s="5" t="inlineStr">
        <is>
          <t>p_gate1</t>
        </is>
      </c>
      <c r="B44" s="2" t="inlineStr">
        <is>
          <t>Probability the pilot passes Gate 1 (stage-gated scenario)</t>
        </is>
      </c>
      <c r="C44" s="9">
        <f>D44</f>
        <v/>
      </c>
      <c r="D44" s="11" t="n">
        <v>0.5</v>
      </c>
      <c r="E44" s="9">
        <f>D44</f>
        <v/>
      </c>
      <c r="F44" t="inlineStr">
        <is>
          <t>%</t>
        </is>
      </c>
      <c r="G44" s="12" t="inlineStr">
        <is>
          <t>ASSUMPTION</t>
        </is>
      </c>
      <c r="H44" s="2" t="inlineStr">
        <is>
          <t>No track record; 06 section 11 hold/stop rule. Used only in the stage-gated block</t>
        </is>
      </c>
    </row>
    <row r="45">
      <c r="A45" s="5" t="inlineStr">
        <is>
          <t>pilot_ben</t>
        </is>
      </c>
      <c r="B45" s="2" t="inlineStr">
        <is>
          <t>Benefit counted during Phases 0-1 (stage-gated scenario)</t>
        </is>
      </c>
      <c r="C45" s="6">
        <f>D45</f>
        <v/>
      </c>
      <c r="D45" s="7" t="n">
        <v>0</v>
      </c>
      <c r="E45" s="6">
        <f>D45</f>
        <v/>
      </c>
      <c r="F45" t="inlineStr">
        <is>
          <t>USD</t>
        </is>
      </c>
      <c r="G45" s="12" t="inlineStr">
        <is>
          <t>ASSUMPTION</t>
        </is>
      </c>
      <c r="H45" s="2" t="inlineStr">
        <is>
          <t>Set to zero: pilot covers 3 brands and is for proof, not value</t>
        </is>
      </c>
    </row>
    <row r="46">
      <c r="A46" s="4" t="inlineStr">
        <is>
          <t>C. Lever ranges (relative change vs today unless 'points')</t>
        </is>
      </c>
    </row>
    <row r="47">
      <c r="A47" s="5" t="inlineStr">
        <is>
          <t>fe_red</t>
        </is>
      </c>
      <c r="B47" s="2" t="inlineStr">
        <is>
          <t>Forecast error (WMAPE) reduction - pilot KPI, not valued directly</t>
        </is>
      </c>
      <c r="C47" s="11" t="n">
        <v>0.1</v>
      </c>
      <c r="D47" s="11" t="n">
        <v>0.2</v>
      </c>
      <c r="E47" s="11" t="n">
        <v>0.3</v>
      </c>
      <c r="F47" t="inlineStr">
        <is>
          <t>%</t>
        </is>
      </c>
      <c r="G47" s="17" t="inlineStr">
        <is>
          <t>BENCHMARK</t>
        </is>
      </c>
      <c r="H47" s="2" t="inlineStr">
        <is>
          <t>02b-gcc-context-and-benchmarks.md B3 (McKinsey 20-50%, academic 19-26%)</t>
        </is>
      </c>
    </row>
    <row r="48">
      <c r="A48" s="5" t="inlineStr">
        <is>
          <t>ls_red</t>
        </is>
      </c>
      <c r="B48" s="2" t="inlineStr">
        <is>
          <t>Lost sales from stock-outs, reduction</t>
        </is>
      </c>
      <c r="C48" s="11" t="n">
        <v>0.1</v>
      </c>
      <c r="D48" s="11" t="n">
        <v>0.2</v>
      </c>
      <c r="E48" s="11" t="n">
        <v>0.3</v>
      </c>
      <c r="F48" t="inlineStr">
        <is>
          <t>%</t>
        </is>
      </c>
      <c r="G48" s="17" t="inlineStr">
        <is>
          <t>BENCHMARK</t>
        </is>
      </c>
      <c r="H48" s="2" t="inlineStr">
        <is>
          <t>02b-gcc-context-and-benchmarks.md B3 (McKinsey fashion 15-25%, vendor 13-28%)</t>
        </is>
      </c>
    </row>
    <row r="49">
      <c r="A49" s="5" t="inlineStr">
        <is>
          <t>realisable</t>
        </is>
      </c>
      <c r="B49" s="2" t="inlineStr">
        <is>
          <t>Share of the stock-out proxy that is real lost demand</t>
        </is>
      </c>
      <c r="C49" s="18">
        <f>D17/D16</f>
        <v/>
      </c>
      <c r="D49" s="11" t="n">
        <v>0.4</v>
      </c>
      <c r="E49" s="11" t="n">
        <v>0.6</v>
      </c>
      <c r="F49" t="inlineStr">
        <is>
          <t>%</t>
        </is>
      </c>
      <c r="G49" s="12" t="inlineStr">
        <is>
          <t>ASSUMPTION</t>
        </is>
      </c>
      <c r="H49" s="2" t="inlineStr">
        <is>
          <t>Low = 03 lower anchor / upper bound; 63% of proxy has stock elsewhere (03)</t>
        </is>
      </c>
    </row>
    <row r="50">
      <c r="A50" s="5" t="inlineStr">
        <is>
          <t>sales_lift</t>
        </is>
      </c>
      <c r="B50" s="2" t="inlineStr">
        <is>
          <t>Cap: total sales lift from better buying and allocation</t>
        </is>
      </c>
      <c r="C50" s="11" t="n">
        <v>0.01</v>
      </c>
      <c r="D50" s="11" t="n">
        <v>0.03</v>
      </c>
      <c r="E50" s="11" t="n">
        <v>0.05</v>
      </c>
      <c r="F50" t="inlineStr">
        <is>
          <t>%</t>
        </is>
      </c>
      <c r="G50" s="17" t="inlineStr">
        <is>
          <t>BENCHMARK</t>
        </is>
      </c>
      <c r="H50" s="2" t="inlineStr">
        <is>
          <t>02b-gcc-context-and-benchmarks.md B3 (Zara field experiment 3-4%)</t>
        </is>
      </c>
    </row>
    <row r="51">
      <c r="A51" s="5" t="inlineStr">
        <is>
          <t>inv_red</t>
        </is>
      </c>
      <c r="B51" s="2" t="inlineStr">
        <is>
          <t>Inventory held at same availability, reduction</t>
        </is>
      </c>
      <c r="C51" s="11" t="n">
        <v>0.05</v>
      </c>
      <c r="D51" s="11" t="n">
        <v>0.1</v>
      </c>
      <c r="E51" s="11" t="n">
        <v>0.15</v>
      </c>
      <c r="F51" t="inlineStr">
        <is>
          <t>%</t>
        </is>
      </c>
      <c r="G51" s="17" t="inlineStr">
        <is>
          <t>BENCHMARK</t>
        </is>
      </c>
      <c r="H51" s="2" t="inlineStr">
        <is>
          <t>02b-gcc-context-and-benchmarks.md B3 (McKinsey State of Fashion 5-15%)</t>
        </is>
      </c>
    </row>
    <row r="52">
      <c r="A52" s="5" t="inlineStr">
        <is>
          <t>md_red</t>
        </is>
      </c>
      <c r="B52" s="2" t="inlineStr">
        <is>
          <t>Markdown and write-down cost, reduction</t>
        </is>
      </c>
      <c r="C52" s="11" t="n">
        <v>0.05</v>
      </c>
      <c r="D52" s="11" t="n">
        <v>0.1</v>
      </c>
      <c r="E52" s="11" t="n">
        <v>0.2</v>
      </c>
      <c r="F52" t="inlineStr">
        <is>
          <t>%</t>
        </is>
      </c>
      <c r="G52" s="17" t="inlineStr">
        <is>
          <t>BENCHMARK</t>
        </is>
      </c>
      <c r="H52" s="2" t="inlineStr">
        <is>
          <t>02b-gcc-context-and-benchmarks.md B3 (BCG up to 2 pts margin; vendor -2% markdown loss)</t>
        </is>
      </c>
    </row>
    <row r="53">
      <c r="A53" s="5" t="inlineStr">
        <is>
          <t>st_pts</t>
        </is>
      </c>
      <c r="B53" s="2" t="inlineStr">
        <is>
          <t>Sell-through, points - cross-check and pilot KPI, not valued directly</t>
        </is>
      </c>
      <c r="C53" s="19" t="n">
        <v>1</v>
      </c>
      <c r="D53" s="19" t="n">
        <v>3</v>
      </c>
      <c r="E53" s="19" t="n">
        <v>5</v>
      </c>
      <c r="F53" t="inlineStr">
        <is>
          <t>pts</t>
        </is>
      </c>
      <c r="G53" s="17" t="inlineStr">
        <is>
          <t>BENCHMARK</t>
        </is>
      </c>
      <c r="H53" s="2" t="inlineStr">
        <is>
          <t>02b-gcc-context-and-benchmarks.md B3 (GCC case +1.6, Guess +5)</t>
        </is>
      </c>
    </row>
    <row r="54">
      <c r="A54" s="5" t="inlineStr">
        <is>
          <t>sf_red</t>
        </is>
      </c>
      <c r="B54" s="2" t="inlineStr">
        <is>
          <t>Size or fit returns, reduction (size curves in buys)</t>
        </is>
      </c>
      <c r="C54" s="11" t="n">
        <v>0</v>
      </c>
      <c r="D54" s="11" t="n">
        <v>0.03</v>
      </c>
      <c r="E54" s="11" t="n">
        <v>0.07000000000000001</v>
      </c>
      <c r="F54" t="inlineStr">
        <is>
          <t>%</t>
        </is>
      </c>
      <c r="G54" s="17" t="inlineStr">
        <is>
          <t>BENCHMARK</t>
        </is>
      </c>
      <c r="H54" s="2" t="inlineStr">
        <is>
          <t>02b-gcc-context-and-benchmarks.md B3 return-rate row; 06 section 15 target -3%</t>
        </is>
      </c>
    </row>
    <row r="55">
      <c r="A55" s="5" t="inlineStr">
        <is>
          <t>time_saved</t>
        </is>
      </c>
      <c r="B55" s="2" t="inlineStr">
        <is>
          <t>Planner manual-work time saved</t>
        </is>
      </c>
      <c r="C55" s="11" t="n">
        <v>0.15</v>
      </c>
      <c r="D55" s="11" t="n">
        <v>0.25</v>
      </c>
      <c r="E55" s="11" t="n">
        <v>0.4</v>
      </c>
      <c r="F55" t="inlineStr">
        <is>
          <t>%</t>
        </is>
      </c>
      <c r="G55" s="12" t="inlineStr">
        <is>
          <t>ASSUMPTION</t>
        </is>
      </c>
      <c r="H55" s="2" t="inlineStr">
        <is>
          <t>No benchmark in 02b; capacity value, not a headcount cut</t>
        </is>
      </c>
    </row>
    <row r="56">
      <c r="A56" s="5" t="inlineStr">
        <is>
          <t>npd_pts</t>
        </is>
      </c>
      <c r="B56" s="2" t="inlineStr">
        <is>
          <t>NPD hit rate, points (UPSIDE ONLY, excluded from base)</t>
        </is>
      </c>
      <c r="C56" s="19" t="n">
        <v>0</v>
      </c>
      <c r="D56" s="19" t="n">
        <v>5</v>
      </c>
      <c r="E56" s="19" t="n">
        <v>10</v>
      </c>
      <c r="F56" t="inlineStr">
        <is>
          <t>pts</t>
        </is>
      </c>
      <c r="G56" s="17" t="inlineStr">
        <is>
          <t>BENCHMARK</t>
        </is>
      </c>
      <c r="H56" s="2" t="inlineStr">
        <is>
          <t>02b-gcc-context-and-benchmarks.md B3 (no published evidence; option value)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1">
      <c r="A1" s="1" t="inlineStr">
        <is>
          <t>Levers - how each benefit is calculated (Low / Base / High)</t>
        </is>
      </c>
    </row>
    <row r="2" ht="32" customHeight="1">
      <c r="A2" s="2" t="inlineStr">
        <is>
          <t>Every cell is a formula on Inputs and Costs. Annual benefit = steady state at full adoption on today's revenue. One-off cash release and NPD upside (f) are shown but never added to the annual benefit.</t>
        </is>
      </c>
    </row>
    <row r="4">
      <c r="A4" s="3" t="inlineStr">
        <is>
          <t>Step</t>
        </is>
      </c>
      <c r="C4" s="3" t="inlineStr">
        <is>
          <t>Low</t>
        </is>
      </c>
      <c r="D4" s="3" t="inlineStr">
        <is>
          <t>Base</t>
        </is>
      </c>
      <c r="E4" s="3" t="inlineStr">
        <is>
          <t>High</t>
        </is>
      </c>
      <c r="F4" s="3" t="inlineStr">
        <is>
          <t>How</t>
        </is>
      </c>
    </row>
    <row r="5">
      <c r="A5" s="4" t="inlineStr">
        <is>
          <t>Common</t>
        </is>
      </c>
    </row>
    <row r="6">
      <c r="A6" t="inlineStr">
        <is>
          <t>VAT divisor (1 + VAT)</t>
        </is>
      </c>
      <c r="C6" s="20">
        <f>1+Inputs!$C$23</f>
        <v/>
      </c>
      <c r="D6" s="20">
        <f>1+Inputs!$D$23</f>
        <v/>
      </c>
      <c r="E6" s="20">
        <f>1+Inputs!$E$23</f>
        <v/>
      </c>
      <c r="F6" s="5" t="inlineStr">
        <is>
          <t>Strips VAT from gross numbers</t>
        </is>
      </c>
    </row>
    <row r="7">
      <c r="A7" t="inlineStr">
        <is>
          <t>Net revenue ex VAT</t>
        </is>
      </c>
      <c r="C7" s="21">
        <f>Inputs!$C$9/C6</f>
        <v/>
      </c>
      <c r="D7" s="21">
        <f>Inputs!$D$9/D6</f>
        <v/>
      </c>
      <c r="E7" s="21">
        <f>Inputs!$E$9/E6</f>
        <v/>
      </c>
      <c r="F7" s="5" t="inlineStr"/>
    </row>
    <row r="8">
      <c r="A8" t="inlineStr">
        <is>
          <t>Contribution margin on extra sales</t>
        </is>
      </c>
      <c r="C8" s="10">
        <f>Inputs!$C$24-Inputs!$C$25</f>
        <v/>
      </c>
      <c r="D8" s="10">
        <f>Inputs!$D$24-Inputs!$D$25</f>
        <v/>
      </c>
      <c r="E8" s="10">
        <f>Inputs!$E$24-Inputs!$E$25</f>
        <v/>
      </c>
      <c r="F8" s="5" t="inlineStr">
        <is>
          <t>Gross margin less variable selling cost</t>
        </is>
      </c>
    </row>
    <row r="9">
      <c r="A9" s="4" t="inlineStr">
        <is>
          <t>(a) Recovered lost sales from fewer stock-outs</t>
        </is>
      </c>
    </row>
    <row r="10">
      <c r="A10" t="inlineStr">
        <is>
          <t>Softline lost demand a year (gross)</t>
        </is>
      </c>
      <c r="C10" s="21">
        <f>Inputs!$C$16*365*Inputs!$C$49</f>
        <v/>
      </c>
      <c r="D10" s="21">
        <f>Inputs!$D$16*365*Inputs!$D$49</f>
        <v/>
      </c>
      <c r="E10" s="21">
        <f>Inputs!$E$16*365*Inputs!$E$49</f>
        <v/>
      </c>
      <c r="F10" s="5" t="inlineStr">
        <is>
          <t>Stock-out proxy x 365 x realisable share</t>
        </is>
      </c>
    </row>
    <row r="11">
      <c r="A11" t="inlineStr">
        <is>
          <t>Hardline lost demand a year (gross)</t>
        </is>
      </c>
      <c r="C11" s="21">
        <f>C10/Inputs!$C$7*Inputs!$C$8*Inputs!$C$32</f>
        <v/>
      </c>
      <c r="D11" s="21">
        <f>D10/Inputs!$D$7*Inputs!$D$8*Inputs!$D$32</f>
        <v/>
      </c>
      <c r="E11" s="21">
        <f>E10/Inputs!$E$7*Inputs!$E$8*Inputs!$E$32</f>
        <v/>
      </c>
      <c r="F11" s="5" t="inlineStr">
        <is>
          <t>Softline intensity x hardline revenue x hardline factor</t>
        </is>
      </c>
    </row>
    <row r="12">
      <c r="A12" t="inlineStr">
        <is>
          <t>Total lost demand a year (gross)</t>
        </is>
      </c>
      <c r="C12" s="21">
        <f>C10+C11</f>
        <v/>
      </c>
      <c r="D12" s="21">
        <f>D10+D11</f>
        <v/>
      </c>
      <c r="E12" s="21">
        <f>E10+E11</f>
        <v/>
      </c>
      <c r="F12" s="5" t="inlineStr"/>
    </row>
    <row r="13">
      <c r="A13" t="inlineStr">
        <is>
          <t>Recovered sales before cap</t>
        </is>
      </c>
      <c r="C13" s="21">
        <f>C12*Inputs!$C$48</f>
        <v/>
      </c>
      <c r="D13" s="21">
        <f>D12*Inputs!$D$48</f>
        <v/>
      </c>
      <c r="E13" s="21">
        <f>E12*Inputs!$E$48</f>
        <v/>
      </c>
      <c r="F13" s="5" t="inlineStr">
        <is>
          <t>Pool x lost-sales reduction</t>
        </is>
      </c>
    </row>
    <row r="14">
      <c r="A14" t="inlineStr">
        <is>
          <t>Cap: revenue x total sales lift</t>
        </is>
      </c>
      <c r="C14" s="21">
        <f>Inputs!$C$6*Inputs!$C$50</f>
        <v/>
      </c>
      <c r="D14" s="21">
        <f>Inputs!$D$6*Inputs!$D$50</f>
        <v/>
      </c>
      <c r="E14" s="21">
        <f>Inputs!$E$6*Inputs!$E$50</f>
        <v/>
      </c>
      <c r="F14" s="5" t="inlineStr">
        <is>
          <t>02b sales-lift ceiling</t>
        </is>
      </c>
    </row>
    <row r="15">
      <c r="A15" t="inlineStr">
        <is>
          <t>Recovered gross sales (lower of the two)</t>
        </is>
      </c>
      <c r="C15" s="21">
        <f>MIN(C13,C14)</f>
        <v/>
      </c>
      <c r="D15" s="21">
        <f>MIN(D13,D14)</f>
        <v/>
      </c>
      <c r="E15" s="21">
        <f>MIN(E13,E14)</f>
        <v/>
      </c>
      <c r="F15" s="5" t="inlineStr"/>
    </row>
    <row r="16">
      <c r="A16" t="inlineStr">
        <is>
          <t>(a) Value: recovered sales at contribution margin</t>
        </is>
      </c>
      <c r="C16" s="22">
        <f>C15/C6*(1-Inputs!$C$11)*C8</f>
        <v/>
      </c>
      <c r="D16" s="22">
        <f>D15/D6*(1-Inputs!$D$11)*D8</f>
        <v/>
      </c>
      <c r="E16" s="22">
        <f>E15/E6*(1-Inputs!$E$11)*E8</f>
        <v/>
      </c>
      <c r="F16" s="5" t="inlineStr">
        <is>
          <t>Ex VAT, net of returns, x contribution</t>
        </is>
      </c>
    </row>
    <row r="17">
      <c r="A17" s="4" t="inlineStr">
        <is>
          <t>(b) Working capital released from lower inventory</t>
        </is>
      </c>
    </row>
    <row r="18">
      <c r="A18" t="inlineStr">
        <is>
          <t>Stock at cost, ex VAT</t>
        </is>
      </c>
      <c r="C18" s="21">
        <f>Inputs!$C$12/C6*(1-Inputs!$C$24)</f>
        <v/>
      </c>
      <c r="D18" s="21">
        <f>Inputs!$D$12/D6*(1-Inputs!$D$24)</f>
        <v/>
      </c>
      <c r="E18" s="21">
        <f>Inputs!$E$12/E6*(1-Inputs!$E$24)</f>
        <v/>
      </c>
      <c r="F18" s="5" t="inlineStr">
        <is>
          <t>Selling-price value -&gt; cost</t>
        </is>
      </c>
    </row>
    <row r="19">
      <c r="A19" t="inlineStr">
        <is>
          <t>One-off cash release at full adoption (shown separately)</t>
        </is>
      </c>
      <c r="C19" s="22">
        <f>C18*Inputs!$C$51</f>
        <v/>
      </c>
      <c r="D19" s="22">
        <f>D18*Inputs!$D$51</f>
        <v/>
      </c>
      <c r="E19" s="22">
        <f>E18*Inputs!$E$51</f>
        <v/>
      </c>
      <c r="F19" s="5" t="inlineStr">
        <is>
          <t>NOT in annual benefit</t>
        </is>
      </c>
    </row>
    <row r="20">
      <c r="A20" t="inlineStr">
        <is>
          <t>(b) Value: annual carrying saving on released cash</t>
        </is>
      </c>
      <c r="C20" s="22">
        <f>C19*Inputs!$C$26</f>
        <v/>
      </c>
      <c r="D20" s="22">
        <f>D19*Inputs!$D$26</f>
        <v/>
      </c>
      <c r="E20" s="22">
        <f>E19*Inputs!$E$26</f>
        <v/>
      </c>
      <c r="F20" s="5" t="inlineStr">
        <is>
          <t>Cash release x cost of capital</t>
        </is>
      </c>
    </row>
    <row r="21">
      <c r="A21" s="4" t="inlineStr">
        <is>
          <t>(c) Markdown and ageing write-down avoided</t>
        </is>
      </c>
    </row>
    <row r="22">
      <c r="A22" t="inlineStr">
        <is>
          <t>Markdown and write-down cost a year</t>
        </is>
      </c>
      <c r="C22" s="21">
        <f>C7*Inputs!$C$28</f>
        <v/>
      </c>
      <c r="D22" s="21">
        <f>D7*Inputs!$D$28</f>
        <v/>
      </c>
      <c r="E22" s="21">
        <f>E7*Inputs!$E$28</f>
        <v/>
      </c>
      <c r="F22" s="5" t="inlineStr">
        <is>
          <t>Net ex VAT x markdown share</t>
        </is>
      </c>
    </row>
    <row r="23">
      <c r="A23" t="inlineStr">
        <is>
          <t>Cross-check: stock over 180 days x clearance discount, ex VAT</t>
        </is>
      </c>
      <c r="C23" s="21">
        <f>Inputs!$C$15/C6*Inputs!$C$29</f>
        <v/>
      </c>
      <c r="D23" s="21">
        <f>Inputs!$D$15/D6*Inputs!$D$29</f>
        <v/>
      </c>
      <c r="E23" s="21">
        <f>Inputs!$E$15/E6*Inputs!$E$29</f>
        <v/>
      </c>
      <c r="F23" s="5" t="inlineStr">
        <is>
          <t>Should be the same order as the row above</t>
        </is>
      </c>
    </row>
    <row r="24">
      <c r="A24" t="inlineStr">
        <is>
          <t>(c) Value: markdown and write-down avoided</t>
        </is>
      </c>
      <c r="C24" s="22">
        <f>C22*Inputs!$C$52</f>
        <v/>
      </c>
      <c r="D24" s="22">
        <f>D22*Inputs!$D$52</f>
        <v/>
      </c>
      <c r="E24" s="22">
        <f>E22*Inputs!$E$52</f>
        <v/>
      </c>
      <c r="F24" s="5" t="inlineStr"/>
    </row>
    <row r="25">
      <c r="A25" s="4" t="inlineStr">
        <is>
          <t>(d) Size-curve improvement: fewer size or fit returns</t>
        </is>
      </c>
    </row>
    <row r="26">
      <c r="A26" t="inlineStr">
        <is>
          <t>Size or fit returns a year, ex VAT</t>
        </is>
      </c>
      <c r="C26" s="21">
        <f>Inputs!$C$18/C6</f>
        <v/>
      </c>
      <c r="D26" s="21">
        <f>Inputs!$D$18/D6</f>
        <v/>
      </c>
      <c r="E26" s="21">
        <f>Inputs!$E$18/E6</f>
        <v/>
      </c>
      <c r="F26" s="5" t="inlineStr">
        <is>
          <t>USD 682k base</t>
        </is>
      </c>
    </row>
    <row r="27">
      <c r="A27" t="inlineStr">
        <is>
          <t>(d) Value: handling cost avoided plus margin on kept sales</t>
        </is>
      </c>
      <c r="C27" s="22">
        <f>C26*Inputs!$C$54*(Inputs!$C$30+Inputs!$C$31*C8)</f>
        <v/>
      </c>
      <c r="D27" s="22">
        <f>D26*Inputs!$D$54*(Inputs!$D$30+Inputs!$D$31*D8)</f>
        <v/>
      </c>
      <c r="E27" s="22">
        <f>E26*Inputs!$E$54*(Inputs!$E$30+Inputs!$E$31*E8)</f>
        <v/>
      </c>
      <c r="F27" s="5" t="inlineStr"/>
    </row>
    <row r="28">
      <c r="A28" s="4" t="inlineStr">
        <is>
          <t>(e) Planner time saved</t>
        </is>
      </c>
    </row>
    <row r="29">
      <c r="A29" t="inlineStr">
        <is>
          <t>(e) Value: planner capacity freed</t>
        </is>
      </c>
      <c r="C29" s="22">
        <f>Inputs!$C$33*Inputs!$C$34*Inputs!$C$35*Inputs!$C$55</f>
        <v/>
      </c>
      <c r="D29" s="22">
        <f>Inputs!$D$33*Inputs!$D$34*Inputs!$D$35*Inputs!$D$55</f>
        <v/>
      </c>
      <c r="E29" s="22">
        <f>Inputs!$E$33*Inputs!$E$34*Inputs!$E$35*Inputs!$E$55</f>
        <v/>
      </c>
      <c r="F29" s="5" t="inlineStr">
        <is>
          <t>Capacity, not a headcount cut</t>
        </is>
      </c>
    </row>
    <row r="30">
      <c r="A30" s="4" t="inlineStr">
        <is>
          <t>Total annual benefit (steady state, current revenue base)</t>
        </is>
      </c>
    </row>
    <row r="31">
      <c r="A31" t="inlineStr">
        <is>
          <t>Sum of levers a to e</t>
        </is>
      </c>
      <c r="C31" s="21">
        <f>C16+C20+C24+C27+C29</f>
        <v/>
      </c>
      <c r="D31" s="21">
        <f>D16+D20+D24+D27+D29</f>
        <v/>
      </c>
      <c r="E31" s="21">
        <f>E16+E20+E24+E27+E29</f>
        <v/>
      </c>
      <c r="F31" s="5" t="inlineStr"/>
    </row>
    <row r="32">
      <c r="A32" t="inlineStr">
        <is>
          <t>Less overlap haircut on a+b+c</t>
        </is>
      </c>
      <c r="C32" s="21">
        <f>-(C16+C20+C24)*Inputs!$C$43</f>
        <v/>
      </c>
      <c r="D32" s="21">
        <f>-(D16+D20+D24)*Inputs!$D$43</f>
        <v/>
      </c>
      <c r="E32" s="21">
        <f>-(E16+E20+E24)*Inputs!$E$43</f>
        <v/>
      </c>
      <c r="F32" s="5" t="inlineStr">
        <is>
          <t>02b B2: levers trade off</t>
        </is>
      </c>
    </row>
    <row r="33">
      <c r="A33" t="inlineStr">
        <is>
          <t>ANNUAL BENEFIT at full adoption</t>
        </is>
      </c>
      <c r="C33" s="23">
        <f>C31+C32</f>
        <v/>
      </c>
      <c r="D33" s="23">
        <f>D31+D32</f>
        <v/>
      </c>
      <c r="E33" s="23">
        <f>E31+E32</f>
        <v/>
      </c>
      <c r="F33" s="5" t="inlineStr">
        <is>
          <t>Excludes NPD (f) and one-off cash</t>
        </is>
      </c>
    </row>
    <row r="34">
      <c r="A34" s="4" t="inlineStr">
        <is>
          <t>(f) NPD upside - shown separately, EXCLUDED from all totals</t>
        </is>
      </c>
    </row>
    <row r="35">
      <c r="A35" t="inlineStr">
        <is>
          <t>(f) NPD hit-rate upside a year</t>
        </is>
      </c>
      <c r="C35" s="22">
        <f>Inputs!$C$10/C6*Inputs!$C$36*Inputs!$C$56*Inputs!$C$37*C8</f>
        <v/>
      </c>
      <c r="D35" s="22">
        <f>Inputs!$D$10/D6*Inputs!$D$36*Inputs!$D$56*Inputs!$D$37*D8</f>
        <v/>
      </c>
      <c r="E35" s="22">
        <f>Inputs!$E$10/E6*Inputs!$E$36*Inputs!$E$56*Inputs!$E$37*E8</f>
        <v/>
      </c>
      <c r="F35" s="5" t="inlineStr">
        <is>
          <t>Upside only</t>
        </is>
      </c>
    </row>
    <row r="36">
      <c r="A36" s="4" t="inlineStr">
        <is>
          <t>Cross-check against the sell-through benchmark</t>
        </is>
      </c>
    </row>
    <row r="37">
      <c r="A37" t="inlineStr">
        <is>
          <t>Units sold in 90 days implied by today's sell-through</t>
        </is>
      </c>
      <c r="C37" s="21">
        <f>Inputs!$C$13*Inputs!$C$14/(1-Inputs!$C$14)</f>
        <v/>
      </c>
      <c r="D37" s="21">
        <f>Inputs!$D$13*Inputs!$D$14/(1-Inputs!$D$14)</f>
        <v/>
      </c>
      <c r="E37" s="21">
        <f>Inputs!$E$13*Inputs!$E$14/(1-Inputs!$E$14)</f>
        <v/>
      </c>
      <c r="F37" s="5" t="inlineStr"/>
    </row>
    <row r="38">
      <c r="A38" t="inlineStr">
        <is>
          <t>Sell-through after recovered sales and lower stock</t>
        </is>
      </c>
      <c r="C38" s="10">
        <f>C37*(1+C15/Inputs!$C$6)/(C37*(1+C15/Inputs!$C$6)+Inputs!$C$13*(1-Inputs!$C$51))</f>
        <v/>
      </c>
      <c r="D38" s="10">
        <f>D37*(1+D15/Inputs!$D$6)/(D37*(1+D15/Inputs!$D$6)+Inputs!$D$13*(1-Inputs!$D$51))</f>
        <v/>
      </c>
      <c r="E38" s="10">
        <f>E37*(1+E15/Inputs!$E$6)/(E37*(1+E15/Inputs!$E$6)+Inputs!$E$13*(1-Inputs!$E$51))</f>
        <v/>
      </c>
      <c r="F38" s="5" t="inlineStr"/>
    </row>
    <row r="39">
      <c r="A39" t="inlineStr">
        <is>
          <t>Implied sell-through change, points (02b benchmark in Inputs st_pts)</t>
        </is>
      </c>
      <c r="C39" s="24">
        <f>(C38-Inputs!$C$14)*100</f>
        <v/>
      </c>
      <c r="D39" s="24">
        <f>(D38-Inputs!$D$14)*100</f>
        <v/>
      </c>
      <c r="E39" s="24">
        <f>(E38-Inputs!$E$14)*100</f>
        <v/>
      </c>
      <c r="F39" s="5" t="inlineStr">
        <is>
          <t>Should sit near the benchmark</t>
        </is>
      </c>
    </row>
    <row r="40">
      <c r="A40" s="4" t="inlineStr">
        <is>
          <t>Three-year view (ramp-up applied)</t>
        </is>
      </c>
    </row>
    <row r="41">
      <c r="A41" t="inlineStr">
        <is>
          <t>Benefit Y1</t>
        </is>
      </c>
      <c r="C41" s="21">
        <f>C33*Inputs!$C$40</f>
        <v/>
      </c>
      <c r="D41" s="21">
        <f>D33*Inputs!$D$40</f>
        <v/>
      </c>
      <c r="E41" s="21">
        <f>E33*Inputs!$E$40</f>
        <v/>
      </c>
      <c r="F41" s="5" t="inlineStr"/>
    </row>
    <row r="42">
      <c r="A42" t="inlineStr">
        <is>
          <t>Benefit Y2</t>
        </is>
      </c>
      <c r="C42" s="21">
        <f>C33*Inputs!$C$41</f>
        <v/>
      </c>
      <c r="D42" s="21">
        <f>D33*Inputs!$D$41</f>
        <v/>
      </c>
      <c r="E42" s="21">
        <f>E33*Inputs!$E$41</f>
        <v/>
      </c>
      <c r="F42" s="5" t="inlineStr"/>
    </row>
    <row r="43">
      <c r="A43" t="inlineStr">
        <is>
          <t>Benefit Y3</t>
        </is>
      </c>
      <c r="C43" s="21">
        <f>C33*Inputs!$C$42</f>
        <v/>
      </c>
      <c r="D43" s="21">
        <f>D33*Inputs!$D$42</f>
        <v/>
      </c>
      <c r="E43" s="21">
        <f>E33*Inputs!$E$42</f>
        <v/>
      </c>
      <c r="F43" s="5" t="inlineStr"/>
    </row>
    <row r="44">
      <c r="A44" t="inlineStr">
        <is>
          <t>Cost Y1</t>
        </is>
      </c>
      <c r="C44" s="21">
        <f>Costs!$B$27*Inputs!$C$39</f>
        <v/>
      </c>
      <c r="D44" s="21">
        <f>Costs!$B$27*Inputs!$D$39</f>
        <v/>
      </c>
      <c r="E44" s="21">
        <f>Costs!$B$27*Inputs!$E$39</f>
        <v/>
      </c>
      <c r="F44" s="5" t="inlineStr">
        <is>
          <t>Costs sheet x multiplier</t>
        </is>
      </c>
    </row>
    <row r="45">
      <c r="A45" t="inlineStr">
        <is>
          <t>Cost Y2</t>
        </is>
      </c>
      <c r="C45" s="21">
        <f>Costs!$C$27*Inputs!$C$39</f>
        <v/>
      </c>
      <c r="D45" s="21">
        <f>Costs!$C$27*Inputs!$D$39</f>
        <v/>
      </c>
      <c r="E45" s="21">
        <f>Costs!$C$27*Inputs!$E$39</f>
        <v/>
      </c>
      <c r="F45" s="5" t="inlineStr"/>
    </row>
    <row r="46">
      <c r="A46" t="inlineStr">
        <is>
          <t>Cost Y3</t>
        </is>
      </c>
      <c r="C46" s="21">
        <f>Costs!$D$27*Inputs!$C$39</f>
        <v/>
      </c>
      <c r="D46" s="21">
        <f>Costs!$D$27*Inputs!$D$39</f>
        <v/>
      </c>
      <c r="E46" s="21">
        <f>Costs!$D$27*Inputs!$E$39</f>
        <v/>
      </c>
      <c r="F46" s="5" t="inlineStr"/>
    </row>
    <row r="47">
      <c r="A47" t="inlineStr">
        <is>
          <t>Net Y1</t>
        </is>
      </c>
      <c r="C47" s="21">
        <f>C41-C44</f>
        <v/>
      </c>
      <c r="D47" s="21">
        <f>D41-D44</f>
        <v/>
      </c>
      <c r="E47" s="21">
        <f>E41-E44</f>
        <v/>
      </c>
      <c r="F47" s="5" t="inlineStr"/>
    </row>
    <row r="48">
      <c r="A48" t="inlineStr">
        <is>
          <t>Net Y2</t>
        </is>
      </c>
      <c r="C48" s="21">
        <f>C42-C45</f>
        <v/>
      </c>
      <c r="D48" s="21">
        <f>D42-D45</f>
        <v/>
      </c>
      <c r="E48" s="21">
        <f>E42-E45</f>
        <v/>
      </c>
      <c r="F48" s="5" t="inlineStr"/>
    </row>
    <row r="49">
      <c r="A49" t="inlineStr">
        <is>
          <t>Net Y3</t>
        </is>
      </c>
      <c r="C49" s="21">
        <f>C43-C46</f>
        <v/>
      </c>
      <c r="D49" s="21">
        <f>D43-D46</f>
        <v/>
      </c>
      <c r="E49" s="21">
        <f>E43-E46</f>
        <v/>
      </c>
      <c r="F49" s="5" t="inlineStr"/>
    </row>
    <row r="50">
      <c r="A50" t="inlineStr">
        <is>
          <t>PV of benefits</t>
        </is>
      </c>
      <c r="C50" s="21">
        <f>C41/(1+Inputs!$C$27)+C42/(1+Inputs!$C$27)^2+C43/(1+Inputs!$C$27)^3</f>
        <v/>
      </c>
      <c r="D50" s="21">
        <f>D41/(1+Inputs!$D$27)+D42/(1+Inputs!$D$27)^2+D43/(1+Inputs!$D$27)^3</f>
        <v/>
      </c>
      <c r="E50" s="21">
        <f>E41/(1+Inputs!$E$27)+E42/(1+Inputs!$E$27)^2+E43/(1+Inputs!$E$27)^3</f>
        <v/>
      </c>
      <c r="F50" s="5" t="inlineStr">
        <is>
          <t>Year-end discounting</t>
        </is>
      </c>
    </row>
    <row r="51">
      <c r="A51" t="inlineStr">
        <is>
          <t>PV of costs</t>
        </is>
      </c>
      <c r="C51" s="21">
        <f>C44/(1+Inputs!$C$27)+C45/(1+Inputs!$C$27)^2+C46/(1+Inputs!$C$27)^3</f>
        <v/>
      </c>
      <c r="D51" s="21">
        <f>D44/(1+Inputs!$D$27)+D45/(1+Inputs!$D$27)^2+D46/(1+Inputs!$D$27)^3</f>
        <v/>
      </c>
      <c r="E51" s="21">
        <f>E44/(1+Inputs!$E$27)+E45/(1+Inputs!$E$27)^2+E46/(1+Inputs!$E$27)^3</f>
        <v/>
      </c>
      <c r="F51" s="5" t="inlineStr"/>
    </row>
    <row r="52">
      <c r="A52" t="inlineStr">
        <is>
          <t>3-YEAR NPV (excl one-off cash release)</t>
        </is>
      </c>
      <c r="C52" s="23">
        <f>C50-C51</f>
        <v/>
      </c>
      <c r="D52" s="23">
        <f>D50-D51</f>
        <v/>
      </c>
      <c r="E52" s="23">
        <f>E50-E51</f>
        <v/>
      </c>
      <c r="F52" s="5" t="inlineStr"/>
    </row>
    <row r="53">
      <c r="A53" t="inlineStr">
        <is>
          <t>ROI multiple (PV benefits / PV costs)</t>
        </is>
      </c>
      <c r="C53" s="25">
        <f>C50/C51</f>
        <v/>
      </c>
      <c r="D53" s="25">
        <f>D50/D51</f>
        <v/>
      </c>
      <c r="E53" s="25">
        <f>E50/E51</f>
        <v/>
      </c>
      <c r="F53" s="5" t="inlineStr"/>
    </row>
    <row r="54">
      <c r="A54" t="inlineStr">
        <is>
          <t>Cash release Y1</t>
        </is>
      </c>
      <c r="C54" s="21">
        <f>C19*Inputs!$C$40</f>
        <v/>
      </c>
      <c r="D54" s="21">
        <f>D19*Inputs!$D$40</f>
        <v/>
      </c>
      <c r="E54" s="21">
        <f>E19*Inputs!$E$40</f>
        <v/>
      </c>
      <c r="F54" s="5" t="inlineStr">
        <is>
          <t>Follows adoption</t>
        </is>
      </c>
    </row>
    <row r="55">
      <c r="A55" t="inlineStr">
        <is>
          <t>Cash release Y2</t>
        </is>
      </c>
      <c r="C55" s="21">
        <f>C19*(Inputs!$C$41-Inputs!$C$40)</f>
        <v/>
      </c>
      <c r="D55" s="21">
        <f>D19*(Inputs!$D$41-Inputs!$D$40)</f>
        <v/>
      </c>
      <c r="E55" s="21">
        <f>E19*(Inputs!$E$41-Inputs!$E$40)</f>
        <v/>
      </c>
      <c r="F55" s="5" t="inlineStr"/>
    </row>
    <row r="56">
      <c r="A56" t="inlineStr">
        <is>
          <t>Cash release Y3</t>
        </is>
      </c>
      <c r="C56" s="21">
        <f>C19*(Inputs!$C$42-Inputs!$C$41)</f>
        <v/>
      </c>
      <c r="D56" s="21">
        <f>D19*(Inputs!$D$42-Inputs!$D$41)</f>
        <v/>
      </c>
      <c r="E56" s="21">
        <f>E19*(Inputs!$E$42-Inputs!$E$41)</f>
        <v/>
      </c>
      <c r="F56" s="5" t="inlineStr"/>
    </row>
    <row r="57">
      <c r="A57" t="inlineStr">
        <is>
          <t>3-year NPV incl one-off cash release</t>
        </is>
      </c>
      <c r="C57" s="23">
        <f>C52+C54/(1+Inputs!$C$27)+C55/(1+Inputs!$C$27)^2+C56/(1+Inputs!$C$27)^3</f>
        <v/>
      </c>
      <c r="D57" s="23">
        <f>D52+D54/(1+Inputs!$D$27)+D55/(1+Inputs!$D$27)^2+D56/(1+Inputs!$D$27)^3</f>
        <v/>
      </c>
      <c r="E57" s="23">
        <f>E52+E54/(1+Inputs!$E$27)+E55/(1+Inputs!$E$27)^2+E56/(1+Inputs!$E$27)^3</f>
        <v/>
      </c>
      <c r="F57" s="5" t="inlineStr"/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4" customWidth="1" min="3" max="3"/>
    <col width="16" customWidth="1" min="4" max="4"/>
    <col width="12" customWidth="1" min="5" max="5"/>
    <col width="11" customWidth="1" min="6" max="6"/>
    <col width="11" customWidth="1" min="7" max="7"/>
    <col width="11" customWidth="1" min="8" max="8"/>
    <col width="40" customWidth="1" min="9" max="9"/>
  </cols>
  <sheetData>
    <row r="1">
      <c r="A1" s="1" t="inlineStr">
        <is>
          <t>Costs - Option D (hybrid, staged), from 05-build-vs-buy.md section 4.5</t>
        </is>
      </c>
    </row>
    <row r="2" ht="45" customHeight="1">
      <c r="A2" s="2" t="inlineStr">
        <is>
          <t>Rates and months are inputs (blue). They rebuild 05's totals (USD 191.6k / 238.4k / 250.2k = 680.2k). Year 1 = Nov 2026 - Oct 2027. Phase dates from 06 section 11. Business time is not in 05; it is added below as an ASSUMPTION so the ROI is not flattered. Scenario cost multiplier is on Inputs.</t>
        </is>
      </c>
    </row>
    <row r="4">
      <c r="A4" s="26" t="inlineStr">
        <is>
          <t>Phase</t>
        </is>
      </c>
      <c r="B4" s="26" t="inlineStr">
        <is>
          <t>People cost rate (USD/yr)</t>
        </is>
      </c>
      <c r="C4" s="26" t="inlineStr">
        <is>
          <t>GCP (USD/month)</t>
        </is>
      </c>
      <c r="D4" s="26" t="inlineStr">
        <is>
          <t>Data and licences (USD/month)</t>
        </is>
      </c>
      <c r="E4" s="26" t="inlineStr">
        <is>
          <t>One-off (USD)</t>
        </is>
      </c>
      <c r="F4" s="26" t="inlineStr">
        <is>
          <t>Months in Y1</t>
        </is>
      </c>
      <c r="G4" s="26" t="inlineStr">
        <is>
          <t>Months in Y2</t>
        </is>
      </c>
      <c r="H4" s="26" t="inlineStr">
        <is>
          <t>Months in Y3</t>
        </is>
      </c>
      <c r="I4" s="26" t="inlineStr">
        <is>
          <t>Source</t>
        </is>
      </c>
    </row>
    <row r="5">
      <c r="A5" s="2" t="inlineStr">
        <is>
          <t>Phase 0 - Prove the basics (9 Nov - 18 Dec 2026)</t>
        </is>
      </c>
      <c r="B5" s="7" t="n">
        <v>97000</v>
      </c>
      <c r="C5" s="7" t="n">
        <v>200</v>
      </c>
      <c r="D5" s="7" t="n">
        <v>0</v>
      </c>
      <c r="E5" s="7" t="n">
        <v>500</v>
      </c>
      <c r="F5" s="19" t="n">
        <v>1.5</v>
      </c>
      <c r="G5" s="19" t="n">
        <v>0</v>
      </c>
      <c r="H5" s="19" t="n">
        <v>0</v>
      </c>
      <c r="I5" t="inlineStr">
        <is>
          <t>05 4.5 FTE table; one-off = capped Cardio Bunny scrape</t>
        </is>
      </c>
    </row>
    <row r="6">
      <c r="A6" s="2" t="inlineStr">
        <is>
          <t>Phase 1 - Pilot, 3 brands, Ramadan 2027 (21 Dec 2026 - 30 Apr 2027)</t>
        </is>
      </c>
      <c r="B6" s="7" t="n">
        <v>151500</v>
      </c>
      <c r="C6" s="7" t="n">
        <v>300</v>
      </c>
      <c r="D6" s="7" t="n">
        <v>1000</v>
      </c>
      <c r="E6" s="7" t="n">
        <v>0</v>
      </c>
      <c r="F6" s="19" t="n">
        <v>4.5</v>
      </c>
      <c r="G6" s="19" t="n">
        <v>0</v>
      </c>
      <c r="H6" s="19" t="n">
        <v>0</v>
      </c>
      <c r="I6" t="inlineStr">
        <is>
          <t>05 4.5</t>
        </is>
      </c>
    </row>
    <row r="7">
      <c r="A7" s="2" t="inlineStr">
        <is>
          <t>Phase 2 - Scale to all brands (May - Dec 2027)</t>
        </is>
      </c>
      <c r="B7" s="7" t="n">
        <v>202000</v>
      </c>
      <c r="C7" s="7" t="n">
        <v>500</v>
      </c>
      <c r="D7" s="7" t="n">
        <v>2000</v>
      </c>
      <c r="E7" s="7" t="n">
        <v>0</v>
      </c>
      <c r="F7" s="19" t="n">
        <v>6</v>
      </c>
      <c r="G7" s="19" t="n">
        <v>2</v>
      </c>
      <c r="H7" s="19" t="n">
        <v>0</v>
      </c>
      <c r="I7" t="inlineStr">
        <is>
          <t>05 4.5</t>
        </is>
      </c>
    </row>
    <row r="8">
      <c r="A8" s="2" t="inlineStr">
        <is>
          <t>Phase 3 - Own product (from Jan 2028; Y3 incl 0.5 partner success)</t>
        </is>
      </c>
      <c r="B8" s="7" t="n">
        <v>208500</v>
      </c>
      <c r="C8" s="7" t="n">
        <v>600</v>
      </c>
      <c r="D8" s="7" t="n">
        <v>2000</v>
      </c>
      <c r="E8" s="7" t="n">
        <v>0</v>
      </c>
      <c r="F8" s="19" t="n">
        <v>0</v>
      </c>
      <c r="G8" s="19" t="n">
        <v>10</v>
      </c>
      <c r="H8" s="19" t="n">
        <v>0</v>
      </c>
      <c r="I8" t="inlineStr">
        <is>
          <t>05 4.5</t>
        </is>
      </c>
    </row>
    <row r="9">
      <c r="A9" s="2" t="inlineStr">
        <is>
          <t>Phase 3 - year 3 rate</t>
        </is>
      </c>
      <c r="B9" s="7" t="n">
        <v>219000</v>
      </c>
      <c r="C9" s="7" t="n">
        <v>600</v>
      </c>
      <c r="D9" s="7" t="n">
        <v>2000</v>
      </c>
      <c r="E9" s="7" t="n">
        <v>0</v>
      </c>
      <c r="F9" s="19" t="n">
        <v>0</v>
      </c>
      <c r="G9" s="19" t="n">
        <v>0</v>
      </c>
      <c r="H9" s="19" t="n">
        <v>12</v>
      </c>
      <c r="I9" t="inlineStr">
        <is>
          <t>05 4.5 (219.0k incl partner success)</t>
        </is>
      </c>
    </row>
    <row r="11">
      <c r="A11" s="4" t="inlineStr">
        <is>
          <t>Business time not costed in 05 (ASSUMPTION)</t>
        </is>
      </c>
    </row>
    <row r="12">
      <c r="A12" s="2" t="inlineStr">
        <is>
          <t>Hours a week (Ashish, Mahesh 2-3 h each; Nitin 2 h; 3 pilot brand managers 2 h each; 06 section 12)</t>
        </is>
      </c>
      <c r="B12" s="27" t="n">
        <v>12</v>
      </c>
    </row>
    <row r="13">
      <c r="A13" s="2" t="inlineStr">
        <is>
          <t>Working weeks a year</t>
        </is>
      </c>
      <c r="B13" s="27" t="n">
        <v>46</v>
      </c>
    </row>
    <row r="14">
      <c r="A14" s="2" t="inlineStr">
        <is>
          <t>Loaded hourly cost, GCC staff (USD 55k / 1,840 h, 05 4.1 analyst rate)</t>
        </is>
      </c>
      <c r="B14" s="24">
        <f>55000/1840</f>
        <v/>
      </c>
    </row>
    <row r="15">
      <c r="A15" s="2" t="inlineStr">
        <is>
          <t>Include business time in ROI cost? (1 = yes, 0 = no)</t>
        </is>
      </c>
      <c r="B15" s="27" t="n">
        <v>1</v>
      </c>
    </row>
    <row r="17">
      <c r="A17" s="4" t="inlineStr">
        <is>
          <t>Cost by year, per phase (USD)</t>
        </is>
      </c>
    </row>
    <row r="18">
      <c r="A18" s="3" t="inlineStr">
        <is>
          <t>Line</t>
        </is>
      </c>
      <c r="B18" s="3" t="inlineStr">
        <is>
          <t>Y1</t>
        </is>
      </c>
      <c r="C18" s="3" t="inlineStr">
        <is>
          <t>Y2</t>
        </is>
      </c>
      <c r="D18" s="3" t="inlineStr">
        <is>
          <t>Y3</t>
        </is>
      </c>
      <c r="E18" s="3" t="inlineStr">
        <is>
          <t>3 years</t>
        </is>
      </c>
    </row>
    <row r="19">
      <c r="A19" s="2" t="inlineStr">
        <is>
          <t>Phase 0 - Prove the basics (9 Nov - 18 Dec 2026)</t>
        </is>
      </c>
      <c r="B19" s="21">
        <f>$B5*F5/12+($C5+$D5)*F5+$E5</f>
        <v/>
      </c>
      <c r="C19" s="21">
        <f>$B5*G5/12+($C5+$D5)*G5</f>
        <v/>
      </c>
      <c r="D19" s="21">
        <f>$B5*H5/12+($C5+$D5)*H5</f>
        <v/>
      </c>
      <c r="E19" s="21">
        <f>SUM(B19:D19)</f>
        <v/>
      </c>
    </row>
    <row r="20">
      <c r="A20" s="2" t="inlineStr">
        <is>
          <t>Phase 1 - Pilot, 3 brands, Ramadan 2027 (21 Dec 2026 - 30 Apr 2027)</t>
        </is>
      </c>
      <c r="B20" s="21">
        <f>$B6*F6/12+($C6+$D6)*F6+$E6</f>
        <v/>
      </c>
      <c r="C20" s="21">
        <f>$B6*G6/12+($C6+$D6)*G6</f>
        <v/>
      </c>
      <c r="D20" s="21">
        <f>$B6*H6/12+($C6+$D6)*H6</f>
        <v/>
      </c>
      <c r="E20" s="21">
        <f>SUM(B20:D20)</f>
        <v/>
      </c>
    </row>
    <row r="21">
      <c r="A21" s="2" t="inlineStr">
        <is>
          <t>Phase 2 - Scale to all brands (May - Dec 2027)</t>
        </is>
      </c>
      <c r="B21" s="21">
        <f>$B7*F7/12+($C7+$D7)*F7+$E7</f>
        <v/>
      </c>
      <c r="C21" s="21">
        <f>$B7*G7/12+($C7+$D7)*G7</f>
        <v/>
      </c>
      <c r="D21" s="21">
        <f>$B7*H7/12+($C7+$D7)*H7</f>
        <v/>
      </c>
      <c r="E21" s="21">
        <f>SUM(B21:D21)</f>
        <v/>
      </c>
    </row>
    <row r="22">
      <c r="A22" s="2" t="inlineStr">
        <is>
          <t>Phase 3 - Own product (from Jan 2028; Y3 incl 0.5 partner success)</t>
        </is>
      </c>
      <c r="B22" s="21">
        <f>$B8*F8/12+($C8+$D8)*F8+$E8</f>
        <v/>
      </c>
      <c r="C22" s="21">
        <f>$B8*G8/12+($C8+$D8)*G8</f>
        <v/>
      </c>
      <c r="D22" s="21">
        <f>$B8*H8/12+($C8+$D8)*H8</f>
        <v/>
      </c>
      <c r="E22" s="21">
        <f>SUM(B22:D22)</f>
        <v/>
      </c>
    </row>
    <row r="23">
      <c r="A23" s="2" t="inlineStr">
        <is>
          <t>Phase 3 - year 3 rate</t>
        </is>
      </c>
      <c r="B23" s="21">
        <f>$B9*F9/12+($C9+$D9)*F9+$E9</f>
        <v/>
      </c>
      <c r="C23" s="21">
        <f>$B9*G9/12+($C9+$D9)*G9</f>
        <v/>
      </c>
      <c r="D23" s="21">
        <f>$B9*H9/12+($C9+$D9)*H9</f>
        <v/>
      </c>
      <c r="E23" s="21">
        <f>SUM(B23:D23)</f>
        <v/>
      </c>
    </row>
    <row r="24">
      <c r="A24" s="4" t="inlineStr">
        <is>
          <t>Subtotal, 05 Option D</t>
        </is>
      </c>
      <c r="B24" s="22">
        <f>SUM(B19:B23)</f>
        <v/>
      </c>
      <c r="C24" s="22">
        <f>SUM(C19:C23)</f>
        <v/>
      </c>
      <c r="D24" s="22">
        <f>SUM(D19:D23)</f>
        <v/>
      </c>
      <c r="E24" s="22">
        <f>SUM(E19:E23)</f>
        <v/>
      </c>
    </row>
    <row r="25">
      <c r="A25" s="5" t="inlineStr">
        <is>
          <t>Check against 05 (USD 191.6k / 238.4k / 250.2k / 680.2k)</t>
        </is>
      </c>
      <c r="B25" s="6" t="n">
        <v>191600</v>
      </c>
      <c r="C25" s="6" t="n">
        <v>238400</v>
      </c>
      <c r="D25" s="6" t="n">
        <v>250200</v>
      </c>
      <c r="E25" s="6" t="n">
        <v>680200</v>
      </c>
    </row>
    <row r="26">
      <c r="A26" t="inlineStr">
        <is>
          <t>Business time (ASSUMPTION, added)</t>
        </is>
      </c>
      <c r="B26" s="21">
        <f>$B$12*$B$13*$B$14*$B$15</f>
        <v/>
      </c>
      <c r="C26" s="21">
        <f>$B$12*$B$13*$B$14*$B$15</f>
        <v/>
      </c>
      <c r="D26" s="21">
        <f>$B$12*$B$13*$B$14*$B$15</f>
        <v/>
      </c>
      <c r="E26" s="21">
        <f>SUM(B26:D26)</f>
        <v/>
      </c>
    </row>
    <row r="27">
      <c r="A27" s="4" t="inlineStr">
        <is>
          <t>Total cost used in ROI (before scenario multiplier)</t>
        </is>
      </c>
      <c r="B27" s="23">
        <f>B24+B26</f>
        <v/>
      </c>
      <c r="C27" s="23">
        <f>C24+C26</f>
        <v/>
      </c>
      <c r="D27" s="23">
        <f>D24+D26</f>
        <v/>
      </c>
      <c r="E27" s="23">
        <f>E24+E26</f>
        <v/>
      </c>
    </row>
    <row r="29">
      <c r="A29" s="4" t="inlineStr">
        <is>
          <t>Same cost by type (USD)</t>
        </is>
      </c>
    </row>
    <row r="30">
      <c r="A30" s="3" t="inlineStr">
        <is>
          <t>Line</t>
        </is>
      </c>
      <c r="B30" s="3" t="inlineStr">
        <is>
          <t>Y1</t>
        </is>
      </c>
      <c r="C30" s="3" t="inlineStr">
        <is>
          <t>Y2</t>
        </is>
      </c>
      <c r="D30" s="3" t="inlineStr">
        <is>
          <t>Y3</t>
        </is>
      </c>
      <c r="E30" s="3" t="inlineStr">
        <is>
          <t>3 years</t>
        </is>
      </c>
    </row>
    <row r="31">
      <c r="A31" t="inlineStr">
        <is>
          <t>People</t>
        </is>
      </c>
      <c r="B31" s="21">
        <f>$B5*F5/12+$B6*F6/12+$B7*F7/12+$B8*F8/12+$B9*F9/12</f>
        <v/>
      </c>
      <c r="C31" s="21">
        <f>$B5*G5/12+$B6*G6/12+$B7*G7/12+$B8*G8/12+$B9*G9/12</f>
        <v/>
      </c>
      <c r="D31" s="21">
        <f>$B5*H5/12+$B6*H6/12+$B7*H7/12+$B8*H8/12+$B9*H9/12</f>
        <v/>
      </c>
      <c r="E31" s="21">
        <f>SUM(B31:D31)</f>
        <v/>
      </c>
    </row>
    <row r="32">
      <c r="A32" t="inlineStr">
        <is>
          <t>GCP</t>
        </is>
      </c>
      <c r="B32" s="21">
        <f>$C5*F5+$C6*F6+$C7*F7+$C8*F8+$C9*F9</f>
        <v/>
      </c>
      <c r="C32" s="21">
        <f>$C5*G5+$C6*G6+$C7*G7+$C8*G8+$C9*G9</f>
        <v/>
      </c>
      <c r="D32" s="21">
        <f>$C5*H5+$C6*H6+$C7*H7+$C8*H8+$C9*H9</f>
        <v/>
      </c>
      <c r="E32" s="21">
        <f>SUM(B32:D32)</f>
        <v/>
      </c>
    </row>
    <row r="33">
      <c r="A33" t="inlineStr">
        <is>
          <t>Data and licences</t>
        </is>
      </c>
      <c r="B33" s="21">
        <f>$D5*F5+$D6*F6+$D7*F7+$D8*F8+$D9*F9+$E5+$E6+$E7+$E8+$E9</f>
        <v/>
      </c>
      <c r="C33" s="21">
        <f>$D5*G5+$D6*G6+$D7*G7+$D8*G8+$D9*G9</f>
        <v/>
      </c>
      <c r="D33" s="21">
        <f>$D5*H5+$D6*H6+$D7*H7+$D8*H8+$D9*H9</f>
        <v/>
      </c>
      <c r="E33" s="21">
        <f>SUM(B33:D33)</f>
        <v/>
      </c>
    </row>
    <row r="34">
      <c r="A34" t="inlineStr">
        <is>
          <t>Business time</t>
        </is>
      </c>
      <c r="B34" s="21">
        <f>B26</f>
        <v/>
      </c>
      <c r="C34" s="21">
        <f>C26</f>
        <v/>
      </c>
      <c r="D34" s="21">
        <f>D26</f>
        <v/>
      </c>
      <c r="E34" s="21">
        <f>E26</f>
        <v/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selection activeCell="A1" sqref="A1"/>
    </sheetView>
  </sheetViews>
  <sheetFormatPr baseColWidth="8" defaultRowHeight="15"/>
  <cols>
    <col width="55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>
      <c r="A1" s="1" t="inlineStr">
        <is>
          <t>Scenarios - low / base / high</t>
        </is>
      </c>
    </row>
    <row r="2" ht="32" customHeight="1">
      <c r="A2" s="2" t="inlineStr">
        <is>
          <t>Low uses every low input at once (and costs at the top of 05's range), so it is a stress case, not a likely case. Payback counts months from 9 Nov 2026 until cumulative benefit minus cost turns positive.</t>
        </is>
      </c>
    </row>
    <row r="4">
      <c r="A4" s="3" t="inlineStr">
        <is>
          <t>Result</t>
        </is>
      </c>
      <c r="B4" s="3" t="inlineStr"/>
      <c r="C4" s="3" t="inlineStr">
        <is>
          <t>Low</t>
        </is>
      </c>
      <c r="D4" s="3" t="inlineStr">
        <is>
          <t>Base</t>
        </is>
      </c>
      <c r="E4" s="3" t="inlineStr">
        <is>
          <t>High</t>
        </is>
      </c>
    </row>
    <row r="5">
      <c r="A5" t="inlineStr">
        <is>
          <t>Annual benefit, full adoption (current revenue base)</t>
        </is>
      </c>
      <c r="C5" s="23">
        <f>Levers!$C$33</f>
        <v/>
      </c>
      <c r="D5" s="23">
        <f>Levers!$D$33</f>
        <v/>
      </c>
      <c r="E5" s="23">
        <f>Levers!$E$33</f>
        <v/>
      </c>
    </row>
    <row r="6">
      <c r="A6" t="inlineStr">
        <is>
          <t xml:space="preserve">  of which (a) recovered lost sales</t>
        </is>
      </c>
      <c r="C6" s="21">
        <f>Levers!$C$16</f>
        <v/>
      </c>
      <c r="D6" s="21">
        <f>Levers!$D$16</f>
        <v/>
      </c>
      <c r="E6" s="21">
        <f>Levers!$E$16</f>
        <v/>
      </c>
    </row>
    <row r="7">
      <c r="A7" t="inlineStr">
        <is>
          <t xml:space="preserve">  of which (b) carrying saving on released stock</t>
        </is>
      </c>
      <c r="C7" s="21">
        <f>Levers!$C$20</f>
        <v/>
      </c>
      <c r="D7" s="21">
        <f>Levers!$D$20</f>
        <v/>
      </c>
      <c r="E7" s="21">
        <f>Levers!$E$20</f>
        <v/>
      </c>
    </row>
    <row r="8">
      <c r="A8" t="inlineStr">
        <is>
          <t xml:space="preserve">  of which (c) markdown and write-down avoided</t>
        </is>
      </c>
      <c r="C8" s="21">
        <f>Levers!$C$24</f>
        <v/>
      </c>
      <c r="D8" s="21">
        <f>Levers!$D$24</f>
        <v/>
      </c>
      <c r="E8" s="21">
        <f>Levers!$E$24</f>
        <v/>
      </c>
    </row>
    <row r="9">
      <c r="A9" t="inlineStr">
        <is>
          <t xml:space="preserve">  of which (d) fewer size or fit returns</t>
        </is>
      </c>
      <c r="C9" s="21">
        <f>Levers!$C$27</f>
        <v/>
      </c>
      <c r="D9" s="21">
        <f>Levers!$D$27</f>
        <v/>
      </c>
      <c r="E9" s="21">
        <f>Levers!$E$27</f>
        <v/>
      </c>
    </row>
    <row r="10">
      <c r="A10" t="inlineStr">
        <is>
          <t xml:space="preserve">  of which (e) planner time</t>
        </is>
      </c>
      <c r="C10" s="21">
        <f>Levers!$C$29</f>
        <v/>
      </c>
      <c r="D10" s="21">
        <f>Levers!$D$29</f>
        <v/>
      </c>
      <c r="E10" s="21">
        <f>Levers!$E$29</f>
        <v/>
      </c>
    </row>
    <row r="11">
      <c r="A11" t="inlineStr">
        <is>
          <t xml:space="preserve">  less overlap haircut</t>
        </is>
      </c>
      <c r="C11" s="21">
        <f>Levers!$C$32</f>
        <v/>
      </c>
      <c r="D11" s="21">
        <f>Levers!$D$32</f>
        <v/>
      </c>
      <c r="E11" s="21">
        <f>Levers!$E$32</f>
        <v/>
      </c>
    </row>
    <row r="12">
      <c r="A12" t="inlineStr">
        <is>
          <t>Benefit Y1 (pilot year, ramp applied)</t>
        </is>
      </c>
      <c r="C12" s="21">
        <f>Levers!$C$41</f>
        <v/>
      </c>
      <c r="D12" s="21">
        <f>Levers!$D$41</f>
        <v/>
      </c>
      <c r="E12" s="21">
        <f>Levers!$E$41</f>
        <v/>
      </c>
    </row>
    <row r="13">
      <c r="A13" t="inlineStr">
        <is>
          <t>Benefit Y2</t>
        </is>
      </c>
      <c r="C13" s="21">
        <f>Levers!$C$42</f>
        <v/>
      </c>
      <c r="D13" s="21">
        <f>Levers!$D$42</f>
        <v/>
      </c>
      <c r="E13" s="21">
        <f>Levers!$E$42</f>
        <v/>
      </c>
    </row>
    <row r="14">
      <c r="A14" t="inlineStr">
        <is>
          <t>Benefit Y3</t>
        </is>
      </c>
      <c r="C14" s="21">
        <f>Levers!$C$43</f>
        <v/>
      </c>
      <c r="D14" s="21">
        <f>Levers!$D$43</f>
        <v/>
      </c>
      <c r="E14" s="21">
        <f>Levers!$E$43</f>
        <v/>
      </c>
    </row>
    <row r="15">
      <c r="A15" t="inlineStr">
        <is>
          <t>Cost Y1</t>
        </is>
      </c>
      <c r="C15" s="21">
        <f>Levers!$C$44</f>
        <v/>
      </c>
      <c r="D15" s="21">
        <f>Levers!$D$44</f>
        <v/>
      </c>
      <c r="E15" s="21">
        <f>Levers!$E$44</f>
        <v/>
      </c>
    </row>
    <row r="16">
      <c r="A16" t="inlineStr">
        <is>
          <t>Cost Y2</t>
        </is>
      </c>
      <c r="C16" s="21">
        <f>Levers!$C$45</f>
        <v/>
      </c>
      <c r="D16" s="21">
        <f>Levers!$D$45</f>
        <v/>
      </c>
      <c r="E16" s="21">
        <f>Levers!$E$45</f>
        <v/>
      </c>
    </row>
    <row r="17">
      <c r="A17" t="inlineStr">
        <is>
          <t>Cost Y3</t>
        </is>
      </c>
      <c r="C17" s="21">
        <f>Levers!$C$46</f>
        <v/>
      </c>
      <c r="D17" s="21">
        <f>Levers!$D$46</f>
        <v/>
      </c>
      <c r="E17" s="21">
        <f>Levers!$E$46</f>
        <v/>
      </c>
    </row>
    <row r="18">
      <c r="A18" t="inlineStr">
        <is>
          <t>3-year NPV, excl one-off cash release</t>
        </is>
      </c>
      <c r="C18" s="23">
        <f>Levers!$C$52</f>
        <v/>
      </c>
      <c r="D18" s="23">
        <f>Levers!$D$52</f>
        <v/>
      </c>
      <c r="E18" s="23">
        <f>Levers!$E$52</f>
        <v/>
      </c>
    </row>
    <row r="19">
      <c r="A19" t="inlineStr">
        <is>
          <t>ROI multiple (PV benefits / PV costs)</t>
        </is>
      </c>
      <c r="C19" s="25">
        <f>Levers!$C$53</f>
        <v/>
      </c>
      <c r="D19" s="25">
        <f>Levers!$D$53</f>
        <v/>
      </c>
      <c r="E19" s="25">
        <f>Levers!$E$53</f>
        <v/>
      </c>
    </row>
    <row r="20">
      <c r="A20" t="inlineStr">
        <is>
          <t>One-off cash released from stock (full adoption)</t>
        </is>
      </c>
      <c r="C20" s="21">
        <f>Levers!$C$19</f>
        <v/>
      </c>
      <c r="D20" s="21">
        <f>Levers!$D$19</f>
        <v/>
      </c>
      <c r="E20" s="21">
        <f>Levers!$E$19</f>
        <v/>
      </c>
    </row>
    <row r="21">
      <c r="A21" t="inlineStr">
        <is>
          <t>3-year NPV incl one-off cash release</t>
        </is>
      </c>
      <c r="C21" s="23">
        <f>Levers!$C$57</f>
        <v/>
      </c>
      <c r="D21" s="23">
        <f>Levers!$D$57</f>
        <v/>
      </c>
      <c r="E21" s="23">
        <f>Levers!$E$57</f>
        <v/>
      </c>
    </row>
    <row r="22">
      <c r="A22" t="inlineStr">
        <is>
          <t>NPD upside a year (excluded above)</t>
        </is>
      </c>
      <c r="C22" s="21">
        <f>Levers!$C$35</f>
        <v/>
      </c>
      <c r="D22" s="21">
        <f>Levers!$D$35</f>
        <v/>
      </c>
      <c r="E22" s="21">
        <f>Levers!$E$35</f>
        <v/>
      </c>
    </row>
    <row r="23">
      <c r="A23" t="inlineStr">
        <is>
          <t>3-year benefit / 3-year cost, undiscounted</t>
        </is>
      </c>
      <c r="C23" s="28">
        <f>(C12+C13+C14)/(C15+C16+C17)</f>
        <v/>
      </c>
      <c r="D23" s="28">
        <f>(D12+D13+D14)/(D15+D16+D17)</f>
        <v/>
      </c>
      <c r="E23" s="28">
        <f>(E12+E13+E14)/(E15+E16+E17)</f>
        <v/>
      </c>
    </row>
    <row r="24">
      <c r="A24" t="inlineStr">
        <is>
          <t>Payback month, excl cash release (months from start)</t>
        </is>
      </c>
      <c r="C24" s="29">
        <f>IF(MIN(C46:AL46)=999,"Not in 36 months",MIN(C46:AL46))</f>
        <v/>
      </c>
      <c r="D24" s="29">
        <f>IF(MIN(C52:AL52)=999,"Not in 36 months",MIN(C52:AL52))</f>
        <v/>
      </c>
      <c r="E24" s="29">
        <f>IF(MIN(C58:AL58)=999,"Not in 36 months",MIN(C58:AL58))</f>
        <v/>
      </c>
    </row>
    <row r="25">
      <c r="A25" t="inlineStr">
        <is>
          <t>Payback month, incl cash release</t>
        </is>
      </c>
      <c r="C25" s="29">
        <f>IF(MIN(C49:AL49)=999,"Not in 36 months",MIN(C49:AL49))</f>
        <v/>
      </c>
      <c r="D25" s="29">
        <f>IF(MIN(C55:AL55)=999,"Not in 36 months",MIN(C55:AL55))</f>
        <v/>
      </c>
      <c r="E25" s="29">
        <f>IF(MIN(C61:AL61)=999,"Not in 36 months",MIN(C61:AL61))</f>
        <v/>
      </c>
    </row>
    <row r="26">
      <c r="A26" t="inlineStr">
        <is>
          <t>Annual benefit needed at full adoption for NPV = 0 (break-even)</t>
        </is>
      </c>
      <c r="C26" s="21">
        <f>Levers!$C$51/(Inputs!$C$40/(1+Inputs!$C$27)+Inputs!$C$41/(1+Inputs!$C$27)^2+Inputs!$C$42/(1+Inputs!$C$27)^3)</f>
        <v/>
      </c>
      <c r="D26" s="21">
        <f>Levers!$D$51/(Inputs!$D$40/(1+Inputs!$D$27)+Inputs!$D$41/(1+Inputs!$D$27)^2+Inputs!$D$42/(1+Inputs!$D$27)^3)</f>
        <v/>
      </c>
      <c r="E26" s="21">
        <f>Levers!$E$51/(Inputs!$E$40/(1+Inputs!$E$27)+Inputs!$E$41/(1+Inputs!$E$27)^2+Inputs!$E$42/(1+Inputs!$E$27)^3)</f>
        <v/>
      </c>
    </row>
    <row r="28">
      <c r="A28" s="4" t="inlineStr">
        <is>
          <t>Stage-gated scenario (base inputs): leadership funds only Phases 0-1 until Gate 1 is met</t>
        </is>
      </c>
    </row>
    <row r="29">
      <c r="A29" s="2" t="inlineStr">
        <is>
          <t>Phase 0 cost (05)</t>
        </is>
      </c>
      <c r="D29" s="21">
        <f>Costs!B19*Inputs!$D$39</f>
        <v/>
      </c>
    </row>
    <row r="30">
      <c r="A30" s="2" t="inlineStr">
        <is>
          <t>Phase 1 cost (05)</t>
        </is>
      </c>
      <c r="D30" s="21">
        <f>Costs!B20*Inputs!$D$39</f>
        <v/>
      </c>
    </row>
    <row r="31">
      <c r="A31" s="2" t="inlineStr">
        <is>
          <t>Business time during Phases 0-1 (6 of 12 months, ASSUMPTION)</t>
        </is>
      </c>
      <c r="D31" s="21">
        <f>Costs!B26*6/12</f>
        <v/>
      </c>
    </row>
    <row r="32">
      <c r="A32" s="2" t="inlineStr">
        <is>
          <t>CASH AT RISK before the Gate 1 go / no-go</t>
        </is>
      </c>
      <c r="D32" s="23">
        <f>D29+D30+D31</f>
        <v/>
      </c>
    </row>
    <row r="33">
      <c r="A33" s="2" t="inlineStr">
        <is>
          <t>Benefit counted before Gate 1 (Inputs pilot_ben)</t>
        </is>
      </c>
      <c r="D33" s="21">
        <f>Inputs!$D$45</f>
        <v/>
      </c>
    </row>
    <row r="34">
      <c r="A34" s="2" t="inlineStr">
        <is>
          <t>NPV if Gate 1 fails and work stops (spent in year 1)</t>
        </is>
      </c>
      <c r="D34" s="21">
        <f>(D33-D32)/(1+Inputs!$D$27)</f>
        <v/>
      </c>
    </row>
    <row r="35">
      <c r="A35" s="2" t="inlineStr">
        <is>
          <t>NPV if Gate 1 passes and Phases 2-3 go ahead (= base NPV)</t>
        </is>
      </c>
      <c r="D35" s="21">
        <f>Levers!$D$52</f>
        <v/>
      </c>
    </row>
    <row r="36">
      <c r="A36" s="2" t="inlineStr">
        <is>
          <t>Probability Gate 1 passes (Inputs p_gate1)</t>
        </is>
      </c>
      <c r="D36" s="10">
        <f>Inputs!$D$44</f>
        <v/>
      </c>
    </row>
    <row r="37">
      <c r="A37" s="2" t="inlineStr">
        <is>
          <t>Expected NPV, stage-gated</t>
        </is>
      </c>
      <c r="D37" s="23">
        <f>D36*D35+(1-D36)*D34</f>
        <v/>
      </c>
    </row>
    <row r="38">
      <c r="A38" s="2" t="inlineStr">
        <is>
          <t>Expected NPV if all 3 years were funded up front (no stop option; a failed product still costs all 3 years)</t>
        </is>
      </c>
      <c r="D38" s="21">
        <f>D36*D35+(1-D36)*(-Levers!$D$51)</f>
        <v/>
      </c>
    </row>
    <row r="39">
      <c r="A39" s="2" t="inlineStr">
        <is>
          <t>Value of stage-gating (difference)</t>
        </is>
      </c>
      <c r="D39" s="21">
        <f>D37-D38</f>
        <v/>
      </c>
    </row>
    <row r="42">
      <c r="A42" s="4" t="inlineStr">
        <is>
          <t>Monthly schedule (annual figures spread evenly within each year)</t>
        </is>
      </c>
    </row>
    <row r="43">
      <c r="A43" s="4" t="inlineStr">
        <is>
          <t>Month</t>
        </is>
      </c>
      <c r="C43" s="4" t="n">
        <v>1</v>
      </c>
      <c r="D43" s="4" t="n">
        <v>2</v>
      </c>
      <c r="E43" s="4" t="n">
        <v>3</v>
      </c>
      <c r="F43" s="4" t="n">
        <v>4</v>
      </c>
      <c r="G43" s="4" t="n">
        <v>5</v>
      </c>
      <c r="H43" s="4" t="n">
        <v>6</v>
      </c>
      <c r="I43" s="4" t="n">
        <v>7</v>
      </c>
      <c r="J43" s="4" t="n">
        <v>8</v>
      </c>
      <c r="K43" s="4" t="n">
        <v>9</v>
      </c>
      <c r="L43" s="4" t="n">
        <v>10</v>
      </c>
      <c r="M43" s="4" t="n">
        <v>11</v>
      </c>
      <c r="N43" s="4" t="n">
        <v>12</v>
      </c>
      <c r="O43" s="4" t="n">
        <v>13</v>
      </c>
      <c r="P43" s="4" t="n">
        <v>14</v>
      </c>
      <c r="Q43" s="4" t="n">
        <v>15</v>
      </c>
      <c r="R43" s="4" t="n">
        <v>16</v>
      </c>
      <c r="S43" s="4" t="n">
        <v>17</v>
      </c>
      <c r="T43" s="4" t="n">
        <v>18</v>
      </c>
      <c r="U43" s="4" t="n">
        <v>19</v>
      </c>
      <c r="V43" s="4" t="n">
        <v>20</v>
      </c>
      <c r="W43" s="4" t="n">
        <v>21</v>
      </c>
      <c r="X43" s="4" t="n">
        <v>22</v>
      </c>
      <c r="Y43" s="4" t="n">
        <v>23</v>
      </c>
      <c r="Z43" s="4" t="n">
        <v>24</v>
      </c>
      <c r="AA43" s="4" t="n">
        <v>25</v>
      </c>
      <c r="AB43" s="4" t="n">
        <v>26</v>
      </c>
      <c r="AC43" s="4" t="n">
        <v>27</v>
      </c>
      <c r="AD43" s="4" t="n">
        <v>28</v>
      </c>
      <c r="AE43" s="4" t="n">
        <v>29</v>
      </c>
      <c r="AF43" s="4" t="n">
        <v>30</v>
      </c>
      <c r="AG43" s="4" t="n">
        <v>31</v>
      </c>
      <c r="AH43" s="4" t="n">
        <v>32</v>
      </c>
      <c r="AI43" s="4" t="n">
        <v>33</v>
      </c>
      <c r="AJ43" s="4" t="n">
        <v>34</v>
      </c>
      <c r="AK43" s="4" t="n">
        <v>35</v>
      </c>
      <c r="AL43" s="4" t="n">
        <v>36</v>
      </c>
    </row>
    <row r="44">
      <c r="A44" t="inlineStr">
        <is>
          <t>Low: net a month</t>
        </is>
      </c>
      <c r="C44" s="21">
        <f>(Levers!$C$41-Levers!$C$44)/12</f>
        <v/>
      </c>
      <c r="D44" s="21">
        <f>(Levers!$C$41-Levers!$C$44)/12</f>
        <v/>
      </c>
      <c r="E44" s="21">
        <f>(Levers!$C$41-Levers!$C$44)/12</f>
        <v/>
      </c>
      <c r="F44" s="21">
        <f>(Levers!$C$41-Levers!$C$44)/12</f>
        <v/>
      </c>
      <c r="G44" s="21">
        <f>(Levers!$C$41-Levers!$C$44)/12</f>
        <v/>
      </c>
      <c r="H44" s="21">
        <f>(Levers!$C$41-Levers!$C$44)/12</f>
        <v/>
      </c>
      <c r="I44" s="21">
        <f>(Levers!$C$41-Levers!$C$44)/12</f>
        <v/>
      </c>
      <c r="J44" s="21">
        <f>(Levers!$C$41-Levers!$C$44)/12</f>
        <v/>
      </c>
      <c r="K44" s="21">
        <f>(Levers!$C$41-Levers!$C$44)/12</f>
        <v/>
      </c>
      <c r="L44" s="21">
        <f>(Levers!$C$41-Levers!$C$44)/12</f>
        <v/>
      </c>
      <c r="M44" s="21">
        <f>(Levers!$C$41-Levers!$C$44)/12</f>
        <v/>
      </c>
      <c r="N44" s="21">
        <f>(Levers!$C$41-Levers!$C$44)/12</f>
        <v/>
      </c>
      <c r="O44" s="21">
        <f>(Levers!$C$42-Levers!$C$45)/12</f>
        <v/>
      </c>
      <c r="P44" s="21">
        <f>(Levers!$C$42-Levers!$C$45)/12</f>
        <v/>
      </c>
      <c r="Q44" s="21">
        <f>(Levers!$C$42-Levers!$C$45)/12</f>
        <v/>
      </c>
      <c r="R44" s="21">
        <f>(Levers!$C$42-Levers!$C$45)/12</f>
        <v/>
      </c>
      <c r="S44" s="21">
        <f>(Levers!$C$42-Levers!$C$45)/12</f>
        <v/>
      </c>
      <c r="T44" s="21">
        <f>(Levers!$C$42-Levers!$C$45)/12</f>
        <v/>
      </c>
      <c r="U44" s="21">
        <f>(Levers!$C$42-Levers!$C$45)/12</f>
        <v/>
      </c>
      <c r="V44" s="21">
        <f>(Levers!$C$42-Levers!$C$45)/12</f>
        <v/>
      </c>
      <c r="W44" s="21">
        <f>(Levers!$C$42-Levers!$C$45)/12</f>
        <v/>
      </c>
      <c r="X44" s="21">
        <f>(Levers!$C$42-Levers!$C$45)/12</f>
        <v/>
      </c>
      <c r="Y44" s="21">
        <f>(Levers!$C$42-Levers!$C$45)/12</f>
        <v/>
      </c>
      <c r="Z44" s="21">
        <f>(Levers!$C$42-Levers!$C$45)/12</f>
        <v/>
      </c>
      <c r="AA44" s="21">
        <f>(Levers!$C$43-Levers!$C$46)/12</f>
        <v/>
      </c>
      <c r="AB44" s="21">
        <f>(Levers!$C$43-Levers!$C$46)/12</f>
        <v/>
      </c>
      <c r="AC44" s="21">
        <f>(Levers!$C$43-Levers!$C$46)/12</f>
        <v/>
      </c>
      <c r="AD44" s="21">
        <f>(Levers!$C$43-Levers!$C$46)/12</f>
        <v/>
      </c>
      <c r="AE44" s="21">
        <f>(Levers!$C$43-Levers!$C$46)/12</f>
        <v/>
      </c>
      <c r="AF44" s="21">
        <f>(Levers!$C$43-Levers!$C$46)/12</f>
        <v/>
      </c>
      <c r="AG44" s="21">
        <f>(Levers!$C$43-Levers!$C$46)/12</f>
        <v/>
      </c>
      <c r="AH44" s="21">
        <f>(Levers!$C$43-Levers!$C$46)/12</f>
        <v/>
      </c>
      <c r="AI44" s="21">
        <f>(Levers!$C$43-Levers!$C$46)/12</f>
        <v/>
      </c>
      <c r="AJ44" s="21">
        <f>(Levers!$C$43-Levers!$C$46)/12</f>
        <v/>
      </c>
      <c r="AK44" s="21">
        <f>(Levers!$C$43-Levers!$C$46)/12</f>
        <v/>
      </c>
      <c r="AL44" s="21">
        <f>(Levers!$C$43-Levers!$C$46)/12</f>
        <v/>
      </c>
    </row>
    <row r="45">
      <c r="A45" t="inlineStr">
        <is>
          <t>Low: cumulative</t>
        </is>
      </c>
      <c r="C45" s="21">
        <f>C44</f>
        <v/>
      </c>
      <c r="D45" s="21">
        <f>C45+D44</f>
        <v/>
      </c>
      <c r="E45" s="21">
        <f>D45+E44</f>
        <v/>
      </c>
      <c r="F45" s="21">
        <f>E45+F44</f>
        <v/>
      </c>
      <c r="G45" s="21">
        <f>F45+G44</f>
        <v/>
      </c>
      <c r="H45" s="21">
        <f>G45+H44</f>
        <v/>
      </c>
      <c r="I45" s="21">
        <f>H45+I44</f>
        <v/>
      </c>
      <c r="J45" s="21">
        <f>I45+J44</f>
        <v/>
      </c>
      <c r="K45" s="21">
        <f>J45+K44</f>
        <v/>
      </c>
      <c r="L45" s="21">
        <f>K45+L44</f>
        <v/>
      </c>
      <c r="M45" s="21">
        <f>L45+M44</f>
        <v/>
      </c>
      <c r="N45" s="21">
        <f>M45+N44</f>
        <v/>
      </c>
      <c r="O45" s="21">
        <f>N45+O44</f>
        <v/>
      </c>
      <c r="P45" s="21">
        <f>O45+P44</f>
        <v/>
      </c>
      <c r="Q45" s="21">
        <f>P45+Q44</f>
        <v/>
      </c>
      <c r="R45" s="21">
        <f>Q45+R44</f>
        <v/>
      </c>
      <c r="S45" s="21">
        <f>R45+S44</f>
        <v/>
      </c>
      <c r="T45" s="21">
        <f>S45+T44</f>
        <v/>
      </c>
      <c r="U45" s="21">
        <f>T45+U44</f>
        <v/>
      </c>
      <c r="V45" s="21">
        <f>U45+V44</f>
        <v/>
      </c>
      <c r="W45" s="21">
        <f>V45+W44</f>
        <v/>
      </c>
      <c r="X45" s="21">
        <f>W45+X44</f>
        <v/>
      </c>
      <c r="Y45" s="21">
        <f>X45+Y44</f>
        <v/>
      </c>
      <c r="Z45" s="21">
        <f>Y45+Z44</f>
        <v/>
      </c>
      <c r="AA45" s="21">
        <f>Z45+AA44</f>
        <v/>
      </c>
      <c r="AB45" s="21">
        <f>AA45+AB44</f>
        <v/>
      </c>
      <c r="AC45" s="21">
        <f>AB45+AC44</f>
        <v/>
      </c>
      <c r="AD45" s="21">
        <f>AC45+AD44</f>
        <v/>
      </c>
      <c r="AE45" s="21">
        <f>AD45+AE44</f>
        <v/>
      </c>
      <c r="AF45" s="21">
        <f>AE45+AF44</f>
        <v/>
      </c>
      <c r="AG45" s="21">
        <f>AF45+AG44</f>
        <v/>
      </c>
      <c r="AH45" s="21">
        <f>AG45+AH44</f>
        <v/>
      </c>
      <c r="AI45" s="21">
        <f>AH45+AI44</f>
        <v/>
      </c>
      <c r="AJ45" s="21">
        <f>AI45+AJ44</f>
        <v/>
      </c>
      <c r="AK45" s="21">
        <f>AJ45+AK44</f>
        <v/>
      </c>
      <c r="AL45" s="21">
        <f>AK45+AL44</f>
        <v/>
      </c>
    </row>
    <row r="46">
      <c r="A46" t="inlineStr">
        <is>
          <t>Low: month if positive</t>
        </is>
      </c>
      <c r="C46">
        <f>IF(C45&gt;=0,1,999)</f>
        <v/>
      </c>
      <c r="D46">
        <f>IF(D45&gt;=0,2,999)</f>
        <v/>
      </c>
      <c r="E46">
        <f>IF(E45&gt;=0,3,999)</f>
        <v/>
      </c>
      <c r="F46">
        <f>IF(F45&gt;=0,4,999)</f>
        <v/>
      </c>
      <c r="G46">
        <f>IF(G45&gt;=0,5,999)</f>
        <v/>
      </c>
      <c r="H46">
        <f>IF(H45&gt;=0,6,999)</f>
        <v/>
      </c>
      <c r="I46">
        <f>IF(I45&gt;=0,7,999)</f>
        <v/>
      </c>
      <c r="J46">
        <f>IF(J45&gt;=0,8,999)</f>
        <v/>
      </c>
      <c r="K46">
        <f>IF(K45&gt;=0,9,999)</f>
        <v/>
      </c>
      <c r="L46">
        <f>IF(L45&gt;=0,10,999)</f>
        <v/>
      </c>
      <c r="M46">
        <f>IF(M45&gt;=0,11,999)</f>
        <v/>
      </c>
      <c r="N46">
        <f>IF(N45&gt;=0,12,999)</f>
        <v/>
      </c>
      <c r="O46">
        <f>IF(O45&gt;=0,13,999)</f>
        <v/>
      </c>
      <c r="P46">
        <f>IF(P45&gt;=0,14,999)</f>
        <v/>
      </c>
      <c r="Q46">
        <f>IF(Q45&gt;=0,15,999)</f>
        <v/>
      </c>
      <c r="R46">
        <f>IF(R45&gt;=0,16,999)</f>
        <v/>
      </c>
      <c r="S46">
        <f>IF(S45&gt;=0,17,999)</f>
        <v/>
      </c>
      <c r="T46">
        <f>IF(T45&gt;=0,18,999)</f>
        <v/>
      </c>
      <c r="U46">
        <f>IF(U45&gt;=0,19,999)</f>
        <v/>
      </c>
      <c r="V46">
        <f>IF(V45&gt;=0,20,999)</f>
        <v/>
      </c>
      <c r="W46">
        <f>IF(W45&gt;=0,21,999)</f>
        <v/>
      </c>
      <c r="X46">
        <f>IF(X45&gt;=0,22,999)</f>
        <v/>
      </c>
      <c r="Y46">
        <f>IF(Y45&gt;=0,23,999)</f>
        <v/>
      </c>
      <c r="Z46">
        <f>IF(Z45&gt;=0,24,999)</f>
        <v/>
      </c>
      <c r="AA46">
        <f>IF(AA45&gt;=0,25,999)</f>
        <v/>
      </c>
      <c r="AB46">
        <f>IF(AB45&gt;=0,26,999)</f>
        <v/>
      </c>
      <c r="AC46">
        <f>IF(AC45&gt;=0,27,999)</f>
        <v/>
      </c>
      <c r="AD46">
        <f>IF(AD45&gt;=0,28,999)</f>
        <v/>
      </c>
      <c r="AE46">
        <f>IF(AE45&gt;=0,29,999)</f>
        <v/>
      </c>
      <c r="AF46">
        <f>IF(AF45&gt;=0,30,999)</f>
        <v/>
      </c>
      <c r="AG46">
        <f>IF(AG45&gt;=0,31,999)</f>
        <v/>
      </c>
      <c r="AH46">
        <f>IF(AH45&gt;=0,32,999)</f>
        <v/>
      </c>
      <c r="AI46">
        <f>IF(AI45&gt;=0,33,999)</f>
        <v/>
      </c>
      <c r="AJ46">
        <f>IF(AJ45&gt;=0,34,999)</f>
        <v/>
      </c>
      <c r="AK46">
        <f>IF(AK45&gt;=0,35,999)</f>
        <v/>
      </c>
      <c r="AL46">
        <f>IF(AL45&gt;=0,36,999)</f>
        <v/>
      </c>
    </row>
    <row r="47">
      <c r="A47" t="inlineStr">
        <is>
          <t>Low: net a month incl cash</t>
        </is>
      </c>
      <c r="C47" s="21">
        <f>C44+Levers!$C$54/12</f>
        <v/>
      </c>
      <c r="D47" s="21">
        <f>D44+Levers!$C$54/12</f>
        <v/>
      </c>
      <c r="E47" s="21">
        <f>E44+Levers!$C$54/12</f>
        <v/>
      </c>
      <c r="F47" s="21">
        <f>F44+Levers!$C$54/12</f>
        <v/>
      </c>
      <c r="G47" s="21">
        <f>G44+Levers!$C$54/12</f>
        <v/>
      </c>
      <c r="H47" s="21">
        <f>H44+Levers!$C$54/12</f>
        <v/>
      </c>
      <c r="I47" s="21">
        <f>I44+Levers!$C$54/12</f>
        <v/>
      </c>
      <c r="J47" s="21">
        <f>J44+Levers!$C$54/12</f>
        <v/>
      </c>
      <c r="K47" s="21">
        <f>K44+Levers!$C$54/12</f>
        <v/>
      </c>
      <c r="L47" s="21">
        <f>L44+Levers!$C$54/12</f>
        <v/>
      </c>
      <c r="M47" s="21">
        <f>M44+Levers!$C$54/12</f>
        <v/>
      </c>
      <c r="N47" s="21">
        <f>N44+Levers!$C$54/12</f>
        <v/>
      </c>
      <c r="O47" s="21">
        <f>O44+Levers!$C$55/12</f>
        <v/>
      </c>
      <c r="P47" s="21">
        <f>P44+Levers!$C$55/12</f>
        <v/>
      </c>
      <c r="Q47" s="21">
        <f>Q44+Levers!$C$55/12</f>
        <v/>
      </c>
      <c r="R47" s="21">
        <f>R44+Levers!$C$55/12</f>
        <v/>
      </c>
      <c r="S47" s="21">
        <f>S44+Levers!$C$55/12</f>
        <v/>
      </c>
      <c r="T47" s="21">
        <f>T44+Levers!$C$55/12</f>
        <v/>
      </c>
      <c r="U47" s="21">
        <f>U44+Levers!$C$55/12</f>
        <v/>
      </c>
      <c r="V47" s="21">
        <f>V44+Levers!$C$55/12</f>
        <v/>
      </c>
      <c r="W47" s="21">
        <f>W44+Levers!$C$55/12</f>
        <v/>
      </c>
      <c r="X47" s="21">
        <f>X44+Levers!$C$55/12</f>
        <v/>
      </c>
      <c r="Y47" s="21">
        <f>Y44+Levers!$C$55/12</f>
        <v/>
      </c>
      <c r="Z47" s="21">
        <f>Z44+Levers!$C$55/12</f>
        <v/>
      </c>
      <c r="AA47" s="21">
        <f>AA44+Levers!$C$56/12</f>
        <v/>
      </c>
      <c r="AB47" s="21">
        <f>AB44+Levers!$C$56/12</f>
        <v/>
      </c>
      <c r="AC47" s="21">
        <f>AC44+Levers!$C$56/12</f>
        <v/>
      </c>
      <c r="AD47" s="21">
        <f>AD44+Levers!$C$56/12</f>
        <v/>
      </c>
      <c r="AE47" s="21">
        <f>AE44+Levers!$C$56/12</f>
        <v/>
      </c>
      <c r="AF47" s="21">
        <f>AF44+Levers!$C$56/12</f>
        <v/>
      </c>
      <c r="AG47" s="21">
        <f>AG44+Levers!$C$56/12</f>
        <v/>
      </c>
      <c r="AH47" s="21">
        <f>AH44+Levers!$C$56/12</f>
        <v/>
      </c>
      <c r="AI47" s="21">
        <f>AI44+Levers!$C$56/12</f>
        <v/>
      </c>
      <c r="AJ47" s="21">
        <f>AJ44+Levers!$C$56/12</f>
        <v/>
      </c>
      <c r="AK47" s="21">
        <f>AK44+Levers!$C$56/12</f>
        <v/>
      </c>
      <c r="AL47" s="21">
        <f>AL44+Levers!$C$56/12</f>
        <v/>
      </c>
    </row>
    <row r="48">
      <c r="A48" t="inlineStr">
        <is>
          <t>Low: cumulative incl cash</t>
        </is>
      </c>
      <c r="C48" s="21">
        <f>C47</f>
        <v/>
      </c>
      <c r="D48" s="21">
        <f>C48+D47</f>
        <v/>
      </c>
      <c r="E48" s="21">
        <f>D48+E47</f>
        <v/>
      </c>
      <c r="F48" s="21">
        <f>E48+F47</f>
        <v/>
      </c>
      <c r="G48" s="21">
        <f>F48+G47</f>
        <v/>
      </c>
      <c r="H48" s="21">
        <f>G48+H47</f>
        <v/>
      </c>
      <c r="I48" s="21">
        <f>H48+I47</f>
        <v/>
      </c>
      <c r="J48" s="21">
        <f>I48+J47</f>
        <v/>
      </c>
      <c r="K48" s="21">
        <f>J48+K47</f>
        <v/>
      </c>
      <c r="L48" s="21">
        <f>K48+L47</f>
        <v/>
      </c>
      <c r="M48" s="21">
        <f>L48+M47</f>
        <v/>
      </c>
      <c r="N48" s="21">
        <f>M48+N47</f>
        <v/>
      </c>
      <c r="O48" s="21">
        <f>N48+O47</f>
        <v/>
      </c>
      <c r="P48" s="21">
        <f>O48+P47</f>
        <v/>
      </c>
      <c r="Q48" s="21">
        <f>P48+Q47</f>
        <v/>
      </c>
      <c r="R48" s="21">
        <f>Q48+R47</f>
        <v/>
      </c>
      <c r="S48" s="21">
        <f>R48+S47</f>
        <v/>
      </c>
      <c r="T48" s="21">
        <f>S48+T47</f>
        <v/>
      </c>
      <c r="U48" s="21">
        <f>T48+U47</f>
        <v/>
      </c>
      <c r="V48" s="21">
        <f>U48+V47</f>
        <v/>
      </c>
      <c r="W48" s="21">
        <f>V48+W47</f>
        <v/>
      </c>
      <c r="X48" s="21">
        <f>W48+X47</f>
        <v/>
      </c>
      <c r="Y48" s="21">
        <f>X48+Y47</f>
        <v/>
      </c>
      <c r="Z48" s="21">
        <f>Y48+Z47</f>
        <v/>
      </c>
      <c r="AA48" s="21">
        <f>Z48+AA47</f>
        <v/>
      </c>
      <c r="AB48" s="21">
        <f>AA48+AB47</f>
        <v/>
      </c>
      <c r="AC48" s="21">
        <f>AB48+AC47</f>
        <v/>
      </c>
      <c r="AD48" s="21">
        <f>AC48+AD47</f>
        <v/>
      </c>
      <c r="AE48" s="21">
        <f>AD48+AE47</f>
        <v/>
      </c>
      <c r="AF48" s="21">
        <f>AE48+AF47</f>
        <v/>
      </c>
      <c r="AG48" s="21">
        <f>AF48+AG47</f>
        <v/>
      </c>
      <c r="AH48" s="21">
        <f>AG48+AH47</f>
        <v/>
      </c>
      <c r="AI48" s="21">
        <f>AH48+AI47</f>
        <v/>
      </c>
      <c r="AJ48" s="21">
        <f>AI48+AJ47</f>
        <v/>
      </c>
      <c r="AK48" s="21">
        <f>AJ48+AK47</f>
        <v/>
      </c>
      <c r="AL48" s="21">
        <f>AK48+AL47</f>
        <v/>
      </c>
    </row>
    <row r="49">
      <c r="A49" t="inlineStr">
        <is>
          <t>Low: month if positive incl cash</t>
        </is>
      </c>
      <c r="C49">
        <f>IF(C48&gt;=0,1,999)</f>
        <v/>
      </c>
      <c r="D49">
        <f>IF(D48&gt;=0,2,999)</f>
        <v/>
      </c>
      <c r="E49">
        <f>IF(E48&gt;=0,3,999)</f>
        <v/>
      </c>
      <c r="F49">
        <f>IF(F48&gt;=0,4,999)</f>
        <v/>
      </c>
      <c r="G49">
        <f>IF(G48&gt;=0,5,999)</f>
        <v/>
      </c>
      <c r="H49">
        <f>IF(H48&gt;=0,6,999)</f>
        <v/>
      </c>
      <c r="I49">
        <f>IF(I48&gt;=0,7,999)</f>
        <v/>
      </c>
      <c r="J49">
        <f>IF(J48&gt;=0,8,999)</f>
        <v/>
      </c>
      <c r="K49">
        <f>IF(K48&gt;=0,9,999)</f>
        <v/>
      </c>
      <c r="L49">
        <f>IF(L48&gt;=0,10,999)</f>
        <v/>
      </c>
      <c r="M49">
        <f>IF(M48&gt;=0,11,999)</f>
        <v/>
      </c>
      <c r="N49">
        <f>IF(N48&gt;=0,12,999)</f>
        <v/>
      </c>
      <c r="O49">
        <f>IF(O48&gt;=0,13,999)</f>
        <v/>
      </c>
      <c r="P49">
        <f>IF(P48&gt;=0,14,999)</f>
        <v/>
      </c>
      <c r="Q49">
        <f>IF(Q48&gt;=0,15,999)</f>
        <v/>
      </c>
      <c r="R49">
        <f>IF(R48&gt;=0,16,999)</f>
        <v/>
      </c>
      <c r="S49">
        <f>IF(S48&gt;=0,17,999)</f>
        <v/>
      </c>
      <c r="T49">
        <f>IF(T48&gt;=0,18,999)</f>
        <v/>
      </c>
      <c r="U49">
        <f>IF(U48&gt;=0,19,999)</f>
        <v/>
      </c>
      <c r="V49">
        <f>IF(V48&gt;=0,20,999)</f>
        <v/>
      </c>
      <c r="W49">
        <f>IF(W48&gt;=0,21,999)</f>
        <v/>
      </c>
      <c r="X49">
        <f>IF(X48&gt;=0,22,999)</f>
        <v/>
      </c>
      <c r="Y49">
        <f>IF(Y48&gt;=0,23,999)</f>
        <v/>
      </c>
      <c r="Z49">
        <f>IF(Z48&gt;=0,24,999)</f>
        <v/>
      </c>
      <c r="AA49">
        <f>IF(AA48&gt;=0,25,999)</f>
        <v/>
      </c>
      <c r="AB49">
        <f>IF(AB48&gt;=0,26,999)</f>
        <v/>
      </c>
      <c r="AC49">
        <f>IF(AC48&gt;=0,27,999)</f>
        <v/>
      </c>
      <c r="AD49">
        <f>IF(AD48&gt;=0,28,999)</f>
        <v/>
      </c>
      <c r="AE49">
        <f>IF(AE48&gt;=0,29,999)</f>
        <v/>
      </c>
      <c r="AF49">
        <f>IF(AF48&gt;=0,30,999)</f>
        <v/>
      </c>
      <c r="AG49">
        <f>IF(AG48&gt;=0,31,999)</f>
        <v/>
      </c>
      <c r="AH49">
        <f>IF(AH48&gt;=0,32,999)</f>
        <v/>
      </c>
      <c r="AI49">
        <f>IF(AI48&gt;=0,33,999)</f>
        <v/>
      </c>
      <c r="AJ49">
        <f>IF(AJ48&gt;=0,34,999)</f>
        <v/>
      </c>
      <c r="AK49">
        <f>IF(AK48&gt;=0,35,999)</f>
        <v/>
      </c>
      <c r="AL49">
        <f>IF(AL48&gt;=0,36,999)</f>
        <v/>
      </c>
    </row>
    <row r="50">
      <c r="A50" t="inlineStr">
        <is>
          <t>Base: net a month</t>
        </is>
      </c>
      <c r="C50" s="21">
        <f>(Levers!$D$41-Levers!$D$44)/12</f>
        <v/>
      </c>
      <c r="D50" s="21">
        <f>(Levers!$D$41-Levers!$D$44)/12</f>
        <v/>
      </c>
      <c r="E50" s="21">
        <f>(Levers!$D$41-Levers!$D$44)/12</f>
        <v/>
      </c>
      <c r="F50" s="21">
        <f>(Levers!$D$41-Levers!$D$44)/12</f>
        <v/>
      </c>
      <c r="G50" s="21">
        <f>(Levers!$D$41-Levers!$D$44)/12</f>
        <v/>
      </c>
      <c r="H50" s="21">
        <f>(Levers!$D$41-Levers!$D$44)/12</f>
        <v/>
      </c>
      <c r="I50" s="21">
        <f>(Levers!$D$41-Levers!$D$44)/12</f>
        <v/>
      </c>
      <c r="J50" s="21">
        <f>(Levers!$D$41-Levers!$D$44)/12</f>
        <v/>
      </c>
      <c r="K50" s="21">
        <f>(Levers!$D$41-Levers!$D$44)/12</f>
        <v/>
      </c>
      <c r="L50" s="21">
        <f>(Levers!$D$41-Levers!$D$44)/12</f>
        <v/>
      </c>
      <c r="M50" s="21">
        <f>(Levers!$D$41-Levers!$D$44)/12</f>
        <v/>
      </c>
      <c r="N50" s="21">
        <f>(Levers!$D$41-Levers!$D$44)/12</f>
        <v/>
      </c>
      <c r="O50" s="21">
        <f>(Levers!$D$42-Levers!$D$45)/12</f>
        <v/>
      </c>
      <c r="P50" s="21">
        <f>(Levers!$D$42-Levers!$D$45)/12</f>
        <v/>
      </c>
      <c r="Q50" s="21">
        <f>(Levers!$D$42-Levers!$D$45)/12</f>
        <v/>
      </c>
      <c r="R50" s="21">
        <f>(Levers!$D$42-Levers!$D$45)/12</f>
        <v/>
      </c>
      <c r="S50" s="21">
        <f>(Levers!$D$42-Levers!$D$45)/12</f>
        <v/>
      </c>
      <c r="T50" s="21">
        <f>(Levers!$D$42-Levers!$D$45)/12</f>
        <v/>
      </c>
      <c r="U50" s="21">
        <f>(Levers!$D$42-Levers!$D$45)/12</f>
        <v/>
      </c>
      <c r="V50" s="21">
        <f>(Levers!$D$42-Levers!$D$45)/12</f>
        <v/>
      </c>
      <c r="W50" s="21">
        <f>(Levers!$D$42-Levers!$D$45)/12</f>
        <v/>
      </c>
      <c r="X50" s="21">
        <f>(Levers!$D$42-Levers!$D$45)/12</f>
        <v/>
      </c>
      <c r="Y50" s="21">
        <f>(Levers!$D$42-Levers!$D$45)/12</f>
        <v/>
      </c>
      <c r="Z50" s="21">
        <f>(Levers!$D$42-Levers!$D$45)/12</f>
        <v/>
      </c>
      <c r="AA50" s="21">
        <f>(Levers!$D$43-Levers!$D$46)/12</f>
        <v/>
      </c>
      <c r="AB50" s="21">
        <f>(Levers!$D$43-Levers!$D$46)/12</f>
        <v/>
      </c>
      <c r="AC50" s="21">
        <f>(Levers!$D$43-Levers!$D$46)/12</f>
        <v/>
      </c>
      <c r="AD50" s="21">
        <f>(Levers!$D$43-Levers!$D$46)/12</f>
        <v/>
      </c>
      <c r="AE50" s="21">
        <f>(Levers!$D$43-Levers!$D$46)/12</f>
        <v/>
      </c>
      <c r="AF50" s="21">
        <f>(Levers!$D$43-Levers!$D$46)/12</f>
        <v/>
      </c>
      <c r="AG50" s="21">
        <f>(Levers!$D$43-Levers!$D$46)/12</f>
        <v/>
      </c>
      <c r="AH50" s="21">
        <f>(Levers!$D$43-Levers!$D$46)/12</f>
        <v/>
      </c>
      <c r="AI50" s="21">
        <f>(Levers!$D$43-Levers!$D$46)/12</f>
        <v/>
      </c>
      <c r="AJ50" s="21">
        <f>(Levers!$D$43-Levers!$D$46)/12</f>
        <v/>
      </c>
      <c r="AK50" s="21">
        <f>(Levers!$D$43-Levers!$D$46)/12</f>
        <v/>
      </c>
      <c r="AL50" s="21">
        <f>(Levers!$D$43-Levers!$D$46)/12</f>
        <v/>
      </c>
    </row>
    <row r="51">
      <c r="A51" t="inlineStr">
        <is>
          <t>Base: cumulative</t>
        </is>
      </c>
      <c r="C51" s="21">
        <f>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t="inlineStr">
        <is>
          <t>Base: month if positive</t>
        </is>
      </c>
      <c r="C52">
        <f>IF(C51&gt;=0,1,999)</f>
        <v/>
      </c>
      <c r="D52">
        <f>IF(D51&gt;=0,2,999)</f>
        <v/>
      </c>
      <c r="E52">
        <f>IF(E51&gt;=0,3,999)</f>
        <v/>
      </c>
      <c r="F52">
        <f>IF(F51&gt;=0,4,999)</f>
        <v/>
      </c>
      <c r="G52">
        <f>IF(G51&gt;=0,5,999)</f>
        <v/>
      </c>
      <c r="H52">
        <f>IF(H51&gt;=0,6,999)</f>
        <v/>
      </c>
      <c r="I52">
        <f>IF(I51&gt;=0,7,999)</f>
        <v/>
      </c>
      <c r="J52">
        <f>IF(J51&gt;=0,8,999)</f>
        <v/>
      </c>
      <c r="K52">
        <f>IF(K51&gt;=0,9,999)</f>
        <v/>
      </c>
      <c r="L52">
        <f>IF(L51&gt;=0,10,999)</f>
        <v/>
      </c>
      <c r="M52">
        <f>IF(M51&gt;=0,11,999)</f>
        <v/>
      </c>
      <c r="N52">
        <f>IF(N51&gt;=0,12,999)</f>
        <v/>
      </c>
      <c r="O52">
        <f>IF(O51&gt;=0,13,999)</f>
        <v/>
      </c>
      <c r="P52">
        <f>IF(P51&gt;=0,14,999)</f>
        <v/>
      </c>
      <c r="Q52">
        <f>IF(Q51&gt;=0,15,999)</f>
        <v/>
      </c>
      <c r="R52">
        <f>IF(R51&gt;=0,16,999)</f>
        <v/>
      </c>
      <c r="S52">
        <f>IF(S51&gt;=0,17,999)</f>
        <v/>
      </c>
      <c r="T52">
        <f>IF(T51&gt;=0,18,999)</f>
        <v/>
      </c>
      <c r="U52">
        <f>IF(U51&gt;=0,19,999)</f>
        <v/>
      </c>
      <c r="V52">
        <f>IF(V51&gt;=0,20,999)</f>
        <v/>
      </c>
      <c r="W52">
        <f>IF(W51&gt;=0,21,999)</f>
        <v/>
      </c>
      <c r="X52">
        <f>IF(X51&gt;=0,22,999)</f>
        <v/>
      </c>
      <c r="Y52">
        <f>IF(Y51&gt;=0,23,999)</f>
        <v/>
      </c>
      <c r="Z52">
        <f>IF(Z51&gt;=0,24,999)</f>
        <v/>
      </c>
      <c r="AA52">
        <f>IF(AA51&gt;=0,25,999)</f>
        <v/>
      </c>
      <c r="AB52">
        <f>IF(AB51&gt;=0,26,999)</f>
        <v/>
      </c>
      <c r="AC52">
        <f>IF(AC51&gt;=0,27,999)</f>
        <v/>
      </c>
      <c r="AD52">
        <f>IF(AD51&gt;=0,28,999)</f>
        <v/>
      </c>
      <c r="AE52">
        <f>IF(AE51&gt;=0,29,999)</f>
        <v/>
      </c>
      <c r="AF52">
        <f>IF(AF51&gt;=0,30,999)</f>
        <v/>
      </c>
      <c r="AG52">
        <f>IF(AG51&gt;=0,31,999)</f>
        <v/>
      </c>
      <c r="AH52">
        <f>IF(AH51&gt;=0,32,999)</f>
        <v/>
      </c>
      <c r="AI52">
        <f>IF(AI51&gt;=0,33,999)</f>
        <v/>
      </c>
      <c r="AJ52">
        <f>IF(AJ51&gt;=0,34,999)</f>
        <v/>
      </c>
      <c r="AK52">
        <f>IF(AK51&gt;=0,35,999)</f>
        <v/>
      </c>
      <c r="AL52">
        <f>IF(AL51&gt;=0,36,999)</f>
        <v/>
      </c>
    </row>
    <row r="53">
      <c r="A53" t="inlineStr">
        <is>
          <t>Base: net a month incl cash</t>
        </is>
      </c>
      <c r="C53" s="21">
        <f>C50+Levers!$D$54/12</f>
        <v/>
      </c>
      <c r="D53" s="21">
        <f>D50+Levers!$D$54/12</f>
        <v/>
      </c>
      <c r="E53" s="21">
        <f>E50+Levers!$D$54/12</f>
        <v/>
      </c>
      <c r="F53" s="21">
        <f>F50+Levers!$D$54/12</f>
        <v/>
      </c>
      <c r="G53" s="21">
        <f>G50+Levers!$D$54/12</f>
        <v/>
      </c>
      <c r="H53" s="21">
        <f>H50+Levers!$D$54/12</f>
        <v/>
      </c>
      <c r="I53" s="21">
        <f>I50+Levers!$D$54/12</f>
        <v/>
      </c>
      <c r="J53" s="21">
        <f>J50+Levers!$D$54/12</f>
        <v/>
      </c>
      <c r="K53" s="21">
        <f>K50+Levers!$D$54/12</f>
        <v/>
      </c>
      <c r="L53" s="21">
        <f>L50+Levers!$D$54/12</f>
        <v/>
      </c>
      <c r="M53" s="21">
        <f>M50+Levers!$D$54/12</f>
        <v/>
      </c>
      <c r="N53" s="21">
        <f>N50+Levers!$D$54/12</f>
        <v/>
      </c>
      <c r="O53" s="21">
        <f>O50+Levers!$D$55/12</f>
        <v/>
      </c>
      <c r="P53" s="21">
        <f>P50+Levers!$D$55/12</f>
        <v/>
      </c>
      <c r="Q53" s="21">
        <f>Q50+Levers!$D$55/12</f>
        <v/>
      </c>
      <c r="R53" s="21">
        <f>R50+Levers!$D$55/12</f>
        <v/>
      </c>
      <c r="S53" s="21">
        <f>S50+Levers!$D$55/12</f>
        <v/>
      </c>
      <c r="T53" s="21">
        <f>T50+Levers!$D$55/12</f>
        <v/>
      </c>
      <c r="U53" s="21">
        <f>U50+Levers!$D$55/12</f>
        <v/>
      </c>
      <c r="V53" s="21">
        <f>V50+Levers!$D$55/12</f>
        <v/>
      </c>
      <c r="W53" s="21">
        <f>W50+Levers!$D$55/12</f>
        <v/>
      </c>
      <c r="X53" s="21">
        <f>X50+Levers!$D$55/12</f>
        <v/>
      </c>
      <c r="Y53" s="21">
        <f>Y50+Levers!$D$55/12</f>
        <v/>
      </c>
      <c r="Z53" s="21">
        <f>Z50+Levers!$D$55/12</f>
        <v/>
      </c>
      <c r="AA53" s="21">
        <f>AA50+Levers!$D$56/12</f>
        <v/>
      </c>
      <c r="AB53" s="21">
        <f>AB50+Levers!$D$56/12</f>
        <v/>
      </c>
      <c r="AC53" s="21">
        <f>AC50+Levers!$D$56/12</f>
        <v/>
      </c>
      <c r="AD53" s="21">
        <f>AD50+Levers!$D$56/12</f>
        <v/>
      </c>
      <c r="AE53" s="21">
        <f>AE50+Levers!$D$56/12</f>
        <v/>
      </c>
      <c r="AF53" s="21">
        <f>AF50+Levers!$D$56/12</f>
        <v/>
      </c>
      <c r="AG53" s="21">
        <f>AG50+Levers!$D$56/12</f>
        <v/>
      </c>
      <c r="AH53" s="21">
        <f>AH50+Levers!$D$56/12</f>
        <v/>
      </c>
      <c r="AI53" s="21">
        <f>AI50+Levers!$D$56/12</f>
        <v/>
      </c>
      <c r="AJ53" s="21">
        <f>AJ50+Levers!$D$56/12</f>
        <v/>
      </c>
      <c r="AK53" s="21">
        <f>AK50+Levers!$D$56/12</f>
        <v/>
      </c>
      <c r="AL53" s="21">
        <f>AL50+Levers!$D$56/12</f>
        <v/>
      </c>
    </row>
    <row r="54">
      <c r="A54" t="inlineStr">
        <is>
          <t>Base: cumulative incl cash</t>
        </is>
      </c>
      <c r="C54" s="21">
        <f>C53</f>
        <v/>
      </c>
      <c r="D54" s="21">
        <f>C54+D53</f>
        <v/>
      </c>
      <c r="E54" s="21">
        <f>D54+E53</f>
        <v/>
      </c>
      <c r="F54" s="21">
        <f>E54+F53</f>
        <v/>
      </c>
      <c r="G54" s="21">
        <f>F54+G53</f>
        <v/>
      </c>
      <c r="H54" s="21">
        <f>G54+H53</f>
        <v/>
      </c>
      <c r="I54" s="21">
        <f>H54+I53</f>
        <v/>
      </c>
      <c r="J54" s="21">
        <f>I54+J53</f>
        <v/>
      </c>
      <c r="K54" s="21">
        <f>J54+K53</f>
        <v/>
      </c>
      <c r="L54" s="21">
        <f>K54+L53</f>
        <v/>
      </c>
      <c r="M54" s="21">
        <f>L54+M53</f>
        <v/>
      </c>
      <c r="N54" s="21">
        <f>M54+N53</f>
        <v/>
      </c>
      <c r="O54" s="21">
        <f>N54+O53</f>
        <v/>
      </c>
      <c r="P54" s="21">
        <f>O54+P53</f>
        <v/>
      </c>
      <c r="Q54" s="21">
        <f>P54+Q53</f>
        <v/>
      </c>
      <c r="R54" s="21">
        <f>Q54+R53</f>
        <v/>
      </c>
      <c r="S54" s="21">
        <f>R54+S53</f>
        <v/>
      </c>
      <c r="T54" s="21">
        <f>S54+T53</f>
        <v/>
      </c>
      <c r="U54" s="21">
        <f>T54+U53</f>
        <v/>
      </c>
      <c r="V54" s="21">
        <f>U54+V53</f>
        <v/>
      </c>
      <c r="W54" s="21">
        <f>V54+W53</f>
        <v/>
      </c>
      <c r="X54" s="21">
        <f>W54+X53</f>
        <v/>
      </c>
      <c r="Y54" s="21">
        <f>X54+Y53</f>
        <v/>
      </c>
      <c r="Z54" s="21">
        <f>Y54+Z53</f>
        <v/>
      </c>
      <c r="AA54" s="21">
        <f>Z54+AA53</f>
        <v/>
      </c>
      <c r="AB54" s="21">
        <f>AA54+AB53</f>
        <v/>
      </c>
      <c r="AC54" s="21">
        <f>AB54+AC53</f>
        <v/>
      </c>
      <c r="AD54" s="21">
        <f>AC54+AD53</f>
        <v/>
      </c>
      <c r="AE54" s="21">
        <f>AD54+AE53</f>
        <v/>
      </c>
      <c r="AF54" s="21">
        <f>AE54+AF53</f>
        <v/>
      </c>
      <c r="AG54" s="21">
        <f>AF54+AG53</f>
        <v/>
      </c>
      <c r="AH54" s="21">
        <f>AG54+AH53</f>
        <v/>
      </c>
      <c r="AI54" s="21">
        <f>AH54+AI53</f>
        <v/>
      </c>
      <c r="AJ54" s="21">
        <f>AI54+AJ53</f>
        <v/>
      </c>
      <c r="AK54" s="21">
        <f>AJ54+AK53</f>
        <v/>
      </c>
      <c r="AL54" s="21">
        <f>AK54+AL53</f>
        <v/>
      </c>
    </row>
    <row r="55">
      <c r="A55" t="inlineStr">
        <is>
          <t>Base: month if positive incl cash</t>
        </is>
      </c>
      <c r="C55">
        <f>IF(C54&gt;=0,1,999)</f>
        <v/>
      </c>
      <c r="D55">
        <f>IF(D54&gt;=0,2,999)</f>
        <v/>
      </c>
      <c r="E55">
        <f>IF(E54&gt;=0,3,999)</f>
        <v/>
      </c>
      <c r="F55">
        <f>IF(F54&gt;=0,4,999)</f>
        <v/>
      </c>
      <c r="G55">
        <f>IF(G54&gt;=0,5,999)</f>
        <v/>
      </c>
      <c r="H55">
        <f>IF(H54&gt;=0,6,999)</f>
        <v/>
      </c>
      <c r="I55">
        <f>IF(I54&gt;=0,7,999)</f>
        <v/>
      </c>
      <c r="J55">
        <f>IF(J54&gt;=0,8,999)</f>
        <v/>
      </c>
      <c r="K55">
        <f>IF(K54&gt;=0,9,999)</f>
        <v/>
      </c>
      <c r="L55">
        <f>IF(L54&gt;=0,10,999)</f>
        <v/>
      </c>
      <c r="M55">
        <f>IF(M54&gt;=0,11,999)</f>
        <v/>
      </c>
      <c r="N55">
        <f>IF(N54&gt;=0,12,999)</f>
        <v/>
      </c>
      <c r="O55">
        <f>IF(O54&gt;=0,13,999)</f>
        <v/>
      </c>
      <c r="P55">
        <f>IF(P54&gt;=0,14,999)</f>
        <v/>
      </c>
      <c r="Q55">
        <f>IF(Q54&gt;=0,15,999)</f>
        <v/>
      </c>
      <c r="R55">
        <f>IF(R54&gt;=0,16,999)</f>
        <v/>
      </c>
      <c r="S55">
        <f>IF(S54&gt;=0,17,999)</f>
        <v/>
      </c>
      <c r="T55">
        <f>IF(T54&gt;=0,18,999)</f>
        <v/>
      </c>
      <c r="U55">
        <f>IF(U54&gt;=0,19,999)</f>
        <v/>
      </c>
      <c r="V55">
        <f>IF(V54&gt;=0,20,999)</f>
        <v/>
      </c>
      <c r="W55">
        <f>IF(W54&gt;=0,21,999)</f>
        <v/>
      </c>
      <c r="X55">
        <f>IF(X54&gt;=0,22,999)</f>
        <v/>
      </c>
      <c r="Y55">
        <f>IF(Y54&gt;=0,23,999)</f>
        <v/>
      </c>
      <c r="Z55">
        <f>IF(Z54&gt;=0,24,999)</f>
        <v/>
      </c>
      <c r="AA55">
        <f>IF(AA54&gt;=0,25,999)</f>
        <v/>
      </c>
      <c r="AB55">
        <f>IF(AB54&gt;=0,26,999)</f>
        <v/>
      </c>
      <c r="AC55">
        <f>IF(AC54&gt;=0,27,999)</f>
        <v/>
      </c>
      <c r="AD55">
        <f>IF(AD54&gt;=0,28,999)</f>
        <v/>
      </c>
      <c r="AE55">
        <f>IF(AE54&gt;=0,29,999)</f>
        <v/>
      </c>
      <c r="AF55">
        <f>IF(AF54&gt;=0,30,999)</f>
        <v/>
      </c>
      <c r="AG55">
        <f>IF(AG54&gt;=0,31,999)</f>
        <v/>
      </c>
      <c r="AH55">
        <f>IF(AH54&gt;=0,32,999)</f>
        <v/>
      </c>
      <c r="AI55">
        <f>IF(AI54&gt;=0,33,999)</f>
        <v/>
      </c>
      <c r="AJ55">
        <f>IF(AJ54&gt;=0,34,999)</f>
        <v/>
      </c>
      <c r="AK55">
        <f>IF(AK54&gt;=0,35,999)</f>
        <v/>
      </c>
      <c r="AL55">
        <f>IF(AL54&gt;=0,36,999)</f>
        <v/>
      </c>
    </row>
    <row r="56">
      <c r="A56" t="inlineStr">
        <is>
          <t>High: net a month</t>
        </is>
      </c>
      <c r="C56" s="21">
        <f>(Levers!$E$41-Levers!$E$44)/12</f>
        <v/>
      </c>
      <c r="D56" s="21">
        <f>(Levers!$E$41-Levers!$E$44)/12</f>
        <v/>
      </c>
      <c r="E56" s="21">
        <f>(Levers!$E$41-Levers!$E$44)/12</f>
        <v/>
      </c>
      <c r="F56" s="21">
        <f>(Levers!$E$41-Levers!$E$44)/12</f>
        <v/>
      </c>
      <c r="G56" s="21">
        <f>(Levers!$E$41-Levers!$E$44)/12</f>
        <v/>
      </c>
      <c r="H56" s="21">
        <f>(Levers!$E$41-Levers!$E$44)/12</f>
        <v/>
      </c>
      <c r="I56" s="21">
        <f>(Levers!$E$41-Levers!$E$44)/12</f>
        <v/>
      </c>
      <c r="J56" s="21">
        <f>(Levers!$E$41-Levers!$E$44)/12</f>
        <v/>
      </c>
      <c r="K56" s="21">
        <f>(Levers!$E$41-Levers!$E$44)/12</f>
        <v/>
      </c>
      <c r="L56" s="21">
        <f>(Levers!$E$41-Levers!$E$44)/12</f>
        <v/>
      </c>
      <c r="M56" s="21">
        <f>(Levers!$E$41-Levers!$E$44)/12</f>
        <v/>
      </c>
      <c r="N56" s="21">
        <f>(Levers!$E$41-Levers!$E$44)/12</f>
        <v/>
      </c>
      <c r="O56" s="21">
        <f>(Levers!$E$42-Levers!$E$45)/12</f>
        <v/>
      </c>
      <c r="P56" s="21">
        <f>(Levers!$E$42-Levers!$E$45)/12</f>
        <v/>
      </c>
      <c r="Q56" s="21">
        <f>(Levers!$E$42-Levers!$E$45)/12</f>
        <v/>
      </c>
      <c r="R56" s="21">
        <f>(Levers!$E$42-Levers!$E$45)/12</f>
        <v/>
      </c>
      <c r="S56" s="21">
        <f>(Levers!$E$42-Levers!$E$45)/12</f>
        <v/>
      </c>
      <c r="T56" s="21">
        <f>(Levers!$E$42-Levers!$E$45)/12</f>
        <v/>
      </c>
      <c r="U56" s="21">
        <f>(Levers!$E$42-Levers!$E$45)/12</f>
        <v/>
      </c>
      <c r="V56" s="21">
        <f>(Levers!$E$42-Levers!$E$45)/12</f>
        <v/>
      </c>
      <c r="W56" s="21">
        <f>(Levers!$E$42-Levers!$E$45)/12</f>
        <v/>
      </c>
      <c r="X56" s="21">
        <f>(Levers!$E$42-Levers!$E$45)/12</f>
        <v/>
      </c>
      <c r="Y56" s="21">
        <f>(Levers!$E$42-Levers!$E$45)/12</f>
        <v/>
      </c>
      <c r="Z56" s="21">
        <f>(Levers!$E$42-Levers!$E$45)/12</f>
        <v/>
      </c>
      <c r="AA56" s="21">
        <f>(Levers!$E$43-Levers!$E$46)/12</f>
        <v/>
      </c>
      <c r="AB56" s="21">
        <f>(Levers!$E$43-Levers!$E$46)/12</f>
        <v/>
      </c>
      <c r="AC56" s="21">
        <f>(Levers!$E$43-Levers!$E$46)/12</f>
        <v/>
      </c>
      <c r="AD56" s="21">
        <f>(Levers!$E$43-Levers!$E$46)/12</f>
        <v/>
      </c>
      <c r="AE56" s="21">
        <f>(Levers!$E$43-Levers!$E$46)/12</f>
        <v/>
      </c>
      <c r="AF56" s="21">
        <f>(Levers!$E$43-Levers!$E$46)/12</f>
        <v/>
      </c>
      <c r="AG56" s="21">
        <f>(Levers!$E$43-Levers!$E$46)/12</f>
        <v/>
      </c>
      <c r="AH56" s="21">
        <f>(Levers!$E$43-Levers!$E$46)/12</f>
        <v/>
      </c>
      <c r="AI56" s="21">
        <f>(Levers!$E$43-Levers!$E$46)/12</f>
        <v/>
      </c>
      <c r="AJ56" s="21">
        <f>(Levers!$E$43-Levers!$E$46)/12</f>
        <v/>
      </c>
      <c r="AK56" s="21">
        <f>(Levers!$E$43-Levers!$E$46)/12</f>
        <v/>
      </c>
      <c r="AL56" s="21">
        <f>(Levers!$E$43-Levers!$E$46)/12</f>
        <v/>
      </c>
    </row>
    <row r="57">
      <c r="A57" t="inlineStr">
        <is>
          <t>High: cumulative</t>
        </is>
      </c>
      <c r="C57" s="21">
        <f>C56</f>
        <v/>
      </c>
      <c r="D57" s="21">
        <f>C57+D56</f>
        <v/>
      </c>
      <c r="E57" s="21">
        <f>D57+E56</f>
        <v/>
      </c>
      <c r="F57" s="21">
        <f>E57+F56</f>
        <v/>
      </c>
      <c r="G57" s="21">
        <f>F57+G56</f>
        <v/>
      </c>
      <c r="H57" s="21">
        <f>G57+H56</f>
        <v/>
      </c>
      <c r="I57" s="21">
        <f>H57+I56</f>
        <v/>
      </c>
      <c r="J57" s="21">
        <f>I57+J56</f>
        <v/>
      </c>
      <c r="K57" s="21">
        <f>J57+K56</f>
        <v/>
      </c>
      <c r="L57" s="21">
        <f>K57+L56</f>
        <v/>
      </c>
      <c r="M57" s="21">
        <f>L57+M56</f>
        <v/>
      </c>
      <c r="N57" s="21">
        <f>M57+N56</f>
        <v/>
      </c>
      <c r="O57" s="21">
        <f>N57+O56</f>
        <v/>
      </c>
      <c r="P57" s="21">
        <f>O57+P56</f>
        <v/>
      </c>
      <c r="Q57" s="21">
        <f>P57+Q56</f>
        <v/>
      </c>
      <c r="R57" s="21">
        <f>Q57+R56</f>
        <v/>
      </c>
      <c r="S57" s="21">
        <f>R57+S56</f>
        <v/>
      </c>
      <c r="T57" s="21">
        <f>S57+T56</f>
        <v/>
      </c>
      <c r="U57" s="21">
        <f>T57+U56</f>
        <v/>
      </c>
      <c r="V57" s="21">
        <f>U57+V56</f>
        <v/>
      </c>
      <c r="W57" s="21">
        <f>V57+W56</f>
        <v/>
      </c>
      <c r="X57" s="21">
        <f>W57+X56</f>
        <v/>
      </c>
      <c r="Y57" s="21">
        <f>X57+Y56</f>
        <v/>
      </c>
      <c r="Z57" s="21">
        <f>Y57+Z56</f>
        <v/>
      </c>
      <c r="AA57" s="21">
        <f>Z57+AA56</f>
        <v/>
      </c>
      <c r="AB57" s="21">
        <f>AA57+AB56</f>
        <v/>
      </c>
      <c r="AC57" s="21">
        <f>AB57+AC56</f>
        <v/>
      </c>
      <c r="AD57" s="21">
        <f>AC57+AD56</f>
        <v/>
      </c>
      <c r="AE57" s="21">
        <f>AD57+AE56</f>
        <v/>
      </c>
      <c r="AF57" s="21">
        <f>AE57+AF56</f>
        <v/>
      </c>
      <c r="AG57" s="21">
        <f>AF57+AG56</f>
        <v/>
      </c>
      <c r="AH57" s="21">
        <f>AG57+AH56</f>
        <v/>
      </c>
      <c r="AI57" s="21">
        <f>AH57+AI56</f>
        <v/>
      </c>
      <c r="AJ57" s="21">
        <f>AI57+AJ56</f>
        <v/>
      </c>
      <c r="AK57" s="21">
        <f>AJ57+AK56</f>
        <v/>
      </c>
      <c r="AL57" s="21">
        <f>AK57+AL56</f>
        <v/>
      </c>
    </row>
    <row r="58">
      <c r="A58" t="inlineStr">
        <is>
          <t>High: month if positive</t>
        </is>
      </c>
      <c r="C58">
        <f>IF(C57&gt;=0,1,999)</f>
        <v/>
      </c>
      <c r="D58">
        <f>IF(D57&gt;=0,2,999)</f>
        <v/>
      </c>
      <c r="E58">
        <f>IF(E57&gt;=0,3,999)</f>
        <v/>
      </c>
      <c r="F58">
        <f>IF(F57&gt;=0,4,999)</f>
        <v/>
      </c>
      <c r="G58">
        <f>IF(G57&gt;=0,5,999)</f>
        <v/>
      </c>
      <c r="H58">
        <f>IF(H57&gt;=0,6,999)</f>
        <v/>
      </c>
      <c r="I58">
        <f>IF(I57&gt;=0,7,999)</f>
        <v/>
      </c>
      <c r="J58">
        <f>IF(J57&gt;=0,8,999)</f>
        <v/>
      </c>
      <c r="K58">
        <f>IF(K57&gt;=0,9,999)</f>
        <v/>
      </c>
      <c r="L58">
        <f>IF(L57&gt;=0,10,999)</f>
        <v/>
      </c>
      <c r="M58">
        <f>IF(M57&gt;=0,11,999)</f>
        <v/>
      </c>
      <c r="N58">
        <f>IF(N57&gt;=0,12,999)</f>
        <v/>
      </c>
      <c r="O58">
        <f>IF(O57&gt;=0,13,999)</f>
        <v/>
      </c>
      <c r="P58">
        <f>IF(P57&gt;=0,14,999)</f>
        <v/>
      </c>
      <c r="Q58">
        <f>IF(Q57&gt;=0,15,999)</f>
        <v/>
      </c>
      <c r="R58">
        <f>IF(R57&gt;=0,16,999)</f>
        <v/>
      </c>
      <c r="S58">
        <f>IF(S57&gt;=0,17,999)</f>
        <v/>
      </c>
      <c r="T58">
        <f>IF(T57&gt;=0,18,999)</f>
        <v/>
      </c>
      <c r="U58">
        <f>IF(U57&gt;=0,19,999)</f>
        <v/>
      </c>
      <c r="V58">
        <f>IF(V57&gt;=0,20,999)</f>
        <v/>
      </c>
      <c r="W58">
        <f>IF(W57&gt;=0,21,999)</f>
        <v/>
      </c>
      <c r="X58">
        <f>IF(X57&gt;=0,22,999)</f>
        <v/>
      </c>
      <c r="Y58">
        <f>IF(Y57&gt;=0,23,999)</f>
        <v/>
      </c>
      <c r="Z58">
        <f>IF(Z57&gt;=0,24,999)</f>
        <v/>
      </c>
      <c r="AA58">
        <f>IF(AA57&gt;=0,25,999)</f>
        <v/>
      </c>
      <c r="AB58">
        <f>IF(AB57&gt;=0,26,999)</f>
        <v/>
      </c>
      <c r="AC58">
        <f>IF(AC57&gt;=0,27,999)</f>
        <v/>
      </c>
      <c r="AD58">
        <f>IF(AD57&gt;=0,28,999)</f>
        <v/>
      </c>
      <c r="AE58">
        <f>IF(AE57&gt;=0,29,999)</f>
        <v/>
      </c>
      <c r="AF58">
        <f>IF(AF57&gt;=0,30,999)</f>
        <v/>
      </c>
      <c r="AG58">
        <f>IF(AG57&gt;=0,31,999)</f>
        <v/>
      </c>
      <c r="AH58">
        <f>IF(AH57&gt;=0,32,999)</f>
        <v/>
      </c>
      <c r="AI58">
        <f>IF(AI57&gt;=0,33,999)</f>
        <v/>
      </c>
      <c r="AJ58">
        <f>IF(AJ57&gt;=0,34,999)</f>
        <v/>
      </c>
      <c r="AK58">
        <f>IF(AK57&gt;=0,35,999)</f>
        <v/>
      </c>
      <c r="AL58">
        <f>IF(AL57&gt;=0,36,999)</f>
        <v/>
      </c>
    </row>
    <row r="59">
      <c r="A59" t="inlineStr">
        <is>
          <t>High: net a month incl cash</t>
        </is>
      </c>
      <c r="C59" s="21">
        <f>C56+Levers!$E$54/12</f>
        <v/>
      </c>
      <c r="D59" s="21">
        <f>D56+Levers!$E$54/12</f>
        <v/>
      </c>
      <c r="E59" s="21">
        <f>E56+Levers!$E$54/12</f>
        <v/>
      </c>
      <c r="F59" s="21">
        <f>F56+Levers!$E$54/12</f>
        <v/>
      </c>
      <c r="G59" s="21">
        <f>G56+Levers!$E$54/12</f>
        <v/>
      </c>
      <c r="H59" s="21">
        <f>H56+Levers!$E$54/12</f>
        <v/>
      </c>
      <c r="I59" s="21">
        <f>I56+Levers!$E$54/12</f>
        <v/>
      </c>
      <c r="J59" s="21">
        <f>J56+Levers!$E$54/12</f>
        <v/>
      </c>
      <c r="K59" s="21">
        <f>K56+Levers!$E$54/12</f>
        <v/>
      </c>
      <c r="L59" s="21">
        <f>L56+Levers!$E$54/12</f>
        <v/>
      </c>
      <c r="M59" s="21">
        <f>M56+Levers!$E$54/12</f>
        <v/>
      </c>
      <c r="N59" s="21">
        <f>N56+Levers!$E$54/12</f>
        <v/>
      </c>
      <c r="O59" s="21">
        <f>O56+Levers!$E$55/12</f>
        <v/>
      </c>
      <c r="P59" s="21">
        <f>P56+Levers!$E$55/12</f>
        <v/>
      </c>
      <c r="Q59" s="21">
        <f>Q56+Levers!$E$55/12</f>
        <v/>
      </c>
      <c r="R59" s="21">
        <f>R56+Levers!$E$55/12</f>
        <v/>
      </c>
      <c r="S59" s="21">
        <f>S56+Levers!$E$55/12</f>
        <v/>
      </c>
      <c r="T59" s="21">
        <f>T56+Levers!$E$55/12</f>
        <v/>
      </c>
      <c r="U59" s="21">
        <f>U56+Levers!$E$55/12</f>
        <v/>
      </c>
      <c r="V59" s="21">
        <f>V56+Levers!$E$55/12</f>
        <v/>
      </c>
      <c r="W59" s="21">
        <f>W56+Levers!$E$55/12</f>
        <v/>
      </c>
      <c r="X59" s="21">
        <f>X56+Levers!$E$55/12</f>
        <v/>
      </c>
      <c r="Y59" s="21">
        <f>Y56+Levers!$E$55/12</f>
        <v/>
      </c>
      <c r="Z59" s="21">
        <f>Z56+Levers!$E$55/12</f>
        <v/>
      </c>
      <c r="AA59" s="21">
        <f>AA56+Levers!$E$56/12</f>
        <v/>
      </c>
      <c r="AB59" s="21">
        <f>AB56+Levers!$E$56/12</f>
        <v/>
      </c>
      <c r="AC59" s="21">
        <f>AC56+Levers!$E$56/12</f>
        <v/>
      </c>
      <c r="AD59" s="21">
        <f>AD56+Levers!$E$56/12</f>
        <v/>
      </c>
      <c r="AE59" s="21">
        <f>AE56+Levers!$E$56/12</f>
        <v/>
      </c>
      <c r="AF59" s="21">
        <f>AF56+Levers!$E$56/12</f>
        <v/>
      </c>
      <c r="AG59" s="21">
        <f>AG56+Levers!$E$56/12</f>
        <v/>
      </c>
      <c r="AH59" s="21">
        <f>AH56+Levers!$E$56/12</f>
        <v/>
      </c>
      <c r="AI59" s="21">
        <f>AI56+Levers!$E$56/12</f>
        <v/>
      </c>
      <c r="AJ59" s="21">
        <f>AJ56+Levers!$E$56/12</f>
        <v/>
      </c>
      <c r="AK59" s="21">
        <f>AK56+Levers!$E$56/12</f>
        <v/>
      </c>
      <c r="AL59" s="21">
        <f>AL56+Levers!$E$56/12</f>
        <v/>
      </c>
    </row>
    <row r="60">
      <c r="A60" t="inlineStr">
        <is>
          <t>High: cumulative incl cash</t>
        </is>
      </c>
      <c r="C60" s="21">
        <f>C59</f>
        <v/>
      </c>
      <c r="D60" s="21">
        <f>C60+D59</f>
        <v/>
      </c>
      <c r="E60" s="21">
        <f>D60+E59</f>
        <v/>
      </c>
      <c r="F60" s="21">
        <f>E60+F59</f>
        <v/>
      </c>
      <c r="G60" s="21">
        <f>F60+G59</f>
        <v/>
      </c>
      <c r="H60" s="21">
        <f>G60+H59</f>
        <v/>
      </c>
      <c r="I60" s="21">
        <f>H60+I59</f>
        <v/>
      </c>
      <c r="J60" s="21">
        <f>I60+J59</f>
        <v/>
      </c>
      <c r="K60" s="21">
        <f>J60+K59</f>
        <v/>
      </c>
      <c r="L60" s="21">
        <f>K60+L59</f>
        <v/>
      </c>
      <c r="M60" s="21">
        <f>L60+M59</f>
        <v/>
      </c>
      <c r="N60" s="21">
        <f>M60+N59</f>
        <v/>
      </c>
      <c r="O60" s="21">
        <f>N60+O59</f>
        <v/>
      </c>
      <c r="P60" s="21">
        <f>O60+P59</f>
        <v/>
      </c>
      <c r="Q60" s="21">
        <f>P60+Q59</f>
        <v/>
      </c>
      <c r="R60" s="21">
        <f>Q60+R59</f>
        <v/>
      </c>
      <c r="S60" s="21">
        <f>R60+S59</f>
        <v/>
      </c>
      <c r="T60" s="21">
        <f>S60+T59</f>
        <v/>
      </c>
      <c r="U60" s="21">
        <f>T60+U59</f>
        <v/>
      </c>
      <c r="V60" s="21">
        <f>U60+V59</f>
        <v/>
      </c>
      <c r="W60" s="21">
        <f>V60+W59</f>
        <v/>
      </c>
      <c r="X60" s="21">
        <f>W60+X59</f>
        <v/>
      </c>
      <c r="Y60" s="21">
        <f>X60+Y59</f>
        <v/>
      </c>
      <c r="Z60" s="21">
        <f>Y60+Z59</f>
        <v/>
      </c>
      <c r="AA60" s="21">
        <f>Z60+AA59</f>
        <v/>
      </c>
      <c r="AB60" s="21">
        <f>AA60+AB59</f>
        <v/>
      </c>
      <c r="AC60" s="21">
        <f>AB60+AC59</f>
        <v/>
      </c>
      <c r="AD60" s="21">
        <f>AC60+AD59</f>
        <v/>
      </c>
      <c r="AE60" s="21">
        <f>AD60+AE59</f>
        <v/>
      </c>
      <c r="AF60" s="21">
        <f>AE60+AF59</f>
        <v/>
      </c>
      <c r="AG60" s="21">
        <f>AF60+AG59</f>
        <v/>
      </c>
      <c r="AH60" s="21">
        <f>AG60+AH59</f>
        <v/>
      </c>
      <c r="AI60" s="21">
        <f>AH60+AI59</f>
        <v/>
      </c>
      <c r="AJ60" s="21">
        <f>AI60+AJ59</f>
        <v/>
      </c>
      <c r="AK60" s="21">
        <f>AJ60+AK59</f>
        <v/>
      </c>
      <c r="AL60" s="21">
        <f>AK60+AL59</f>
        <v/>
      </c>
    </row>
    <row r="61">
      <c r="A61" t="inlineStr">
        <is>
          <t>High: month if positive incl cash</t>
        </is>
      </c>
      <c r="C61">
        <f>IF(C60&gt;=0,1,999)</f>
        <v/>
      </c>
      <c r="D61">
        <f>IF(D60&gt;=0,2,999)</f>
        <v/>
      </c>
      <c r="E61">
        <f>IF(E60&gt;=0,3,999)</f>
        <v/>
      </c>
      <c r="F61">
        <f>IF(F60&gt;=0,4,999)</f>
        <v/>
      </c>
      <c r="G61">
        <f>IF(G60&gt;=0,5,999)</f>
        <v/>
      </c>
      <c r="H61">
        <f>IF(H60&gt;=0,6,999)</f>
        <v/>
      </c>
      <c r="I61">
        <f>IF(I60&gt;=0,7,999)</f>
        <v/>
      </c>
      <c r="J61">
        <f>IF(J60&gt;=0,8,999)</f>
        <v/>
      </c>
      <c r="K61">
        <f>IF(K60&gt;=0,9,999)</f>
        <v/>
      </c>
      <c r="L61">
        <f>IF(L60&gt;=0,10,999)</f>
        <v/>
      </c>
      <c r="M61">
        <f>IF(M60&gt;=0,11,999)</f>
        <v/>
      </c>
      <c r="N61">
        <f>IF(N60&gt;=0,12,999)</f>
        <v/>
      </c>
      <c r="O61">
        <f>IF(O60&gt;=0,13,999)</f>
        <v/>
      </c>
      <c r="P61">
        <f>IF(P60&gt;=0,14,999)</f>
        <v/>
      </c>
      <c r="Q61">
        <f>IF(Q60&gt;=0,15,999)</f>
        <v/>
      </c>
      <c r="R61">
        <f>IF(R60&gt;=0,16,999)</f>
        <v/>
      </c>
      <c r="S61">
        <f>IF(S60&gt;=0,17,999)</f>
        <v/>
      </c>
      <c r="T61">
        <f>IF(T60&gt;=0,18,999)</f>
        <v/>
      </c>
      <c r="U61">
        <f>IF(U60&gt;=0,19,999)</f>
        <v/>
      </c>
      <c r="V61">
        <f>IF(V60&gt;=0,20,999)</f>
        <v/>
      </c>
      <c r="W61">
        <f>IF(W60&gt;=0,21,999)</f>
        <v/>
      </c>
      <c r="X61">
        <f>IF(X60&gt;=0,22,999)</f>
        <v/>
      </c>
      <c r="Y61">
        <f>IF(Y60&gt;=0,23,999)</f>
        <v/>
      </c>
      <c r="Z61">
        <f>IF(Z60&gt;=0,24,999)</f>
        <v/>
      </c>
      <c r="AA61">
        <f>IF(AA60&gt;=0,25,999)</f>
        <v/>
      </c>
      <c r="AB61">
        <f>IF(AB60&gt;=0,26,999)</f>
        <v/>
      </c>
      <c r="AC61">
        <f>IF(AC60&gt;=0,27,999)</f>
        <v/>
      </c>
      <c r="AD61">
        <f>IF(AD60&gt;=0,28,999)</f>
        <v/>
      </c>
      <c r="AE61">
        <f>IF(AE60&gt;=0,29,999)</f>
        <v/>
      </c>
      <c r="AF61">
        <f>IF(AF60&gt;=0,30,999)</f>
        <v/>
      </c>
      <c r="AG61">
        <f>IF(AG60&gt;=0,31,999)</f>
        <v/>
      </c>
      <c r="AH61">
        <f>IF(AH60&gt;=0,32,999)</f>
        <v/>
      </c>
      <c r="AI61">
        <f>IF(AI60&gt;=0,33,999)</f>
        <v/>
      </c>
      <c r="AJ61">
        <f>IF(AJ60&gt;=0,34,999)</f>
        <v/>
      </c>
      <c r="AK61">
        <f>IF(AK60&gt;=0,35,999)</f>
        <v/>
      </c>
      <c r="AL61">
        <f>IF(AL60&gt;=0,36,999)</f>
        <v/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5" customWidth="1" min="1" max="1"/>
    <col width="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Growth - benefit on today's revenue vs a grown revenue base</t>
        </is>
      </c>
    </row>
    <row r="2" ht="48" customHeight="1">
      <c r="A2" s="2" t="inlineStr">
        <is>
          <t>Revenue-linked levers (a, b, c, d and the haircut) grow with revenue; planner time (e) does not. Growth rate = the lower of observed softline unit growth (03) and the cap on Inputs. Year 1 stays on today's base (conservative), so year n uses (1+g)^(n-1). Costs are the same in both views.</t>
        </is>
      </c>
    </row>
    <row r="4">
      <c r="A4" t="inlineStr">
        <is>
          <t>Observed softline unit growth (03)</t>
        </is>
      </c>
      <c r="C4" s="10">
        <f>Inputs!$D$19</f>
        <v/>
      </c>
    </row>
    <row r="5">
      <c r="A5" t="inlineStr">
        <is>
          <t>Cap (Inputs)</t>
        </is>
      </c>
      <c r="C5" s="10">
        <f>Inputs!$D$38</f>
        <v/>
      </c>
    </row>
    <row r="6">
      <c r="A6" t="inlineStr">
        <is>
          <t>Growth rate used</t>
        </is>
      </c>
      <c r="C6" s="30">
        <f>MAX(0,MIN(C4,C5))</f>
        <v/>
      </c>
    </row>
    <row r="7">
      <c r="A7" s="5" t="inlineStr">
        <is>
          <t>Note: GCC unit growth (+49%) and USPA like-for-like (-1%) are on Inputs; the cap keeps launches out.</t>
        </is>
      </c>
    </row>
    <row r="9">
      <c r="A9" s="3" t="inlineStr">
        <is>
          <t>Line</t>
        </is>
      </c>
      <c r="B9" s="3" t="inlineStr"/>
      <c r="C9" s="3" t="inlineStr">
        <is>
          <t>Low</t>
        </is>
      </c>
      <c r="D9" s="3" t="inlineStr">
        <is>
          <t>Base</t>
        </is>
      </c>
      <c r="E9" s="3" t="inlineStr">
        <is>
          <t>High</t>
        </is>
      </c>
    </row>
    <row r="10">
      <c r="A10" t="inlineStr">
        <is>
          <t>Benefit Y1, current base</t>
        </is>
      </c>
      <c r="C10" s="21">
        <f>Levers!$C$41</f>
        <v/>
      </c>
      <c r="D10" s="21">
        <f>Levers!$D$41</f>
        <v/>
      </c>
      <c r="E10" s="21">
        <f>Levers!$E$41</f>
        <v/>
      </c>
    </row>
    <row r="11">
      <c r="A11" t="inlineStr">
        <is>
          <t>Benefit Y2, current base</t>
        </is>
      </c>
      <c r="C11" s="21">
        <f>Levers!$C$42</f>
        <v/>
      </c>
      <c r="D11" s="21">
        <f>Levers!$D$42</f>
        <v/>
      </c>
      <c r="E11" s="21">
        <f>Levers!$E$42</f>
        <v/>
      </c>
    </row>
    <row r="12">
      <c r="A12" t="inlineStr">
        <is>
          <t>Benefit Y3, current base</t>
        </is>
      </c>
      <c r="C12" s="21">
        <f>Levers!$C$43</f>
        <v/>
      </c>
      <c r="D12" s="21">
        <f>Levers!$D$43</f>
        <v/>
      </c>
      <c r="E12" s="21">
        <f>Levers!$E$43</f>
        <v/>
      </c>
    </row>
    <row r="13">
      <c r="A13" t="inlineStr">
        <is>
          <t>Benefit Y1, grown base</t>
        </is>
      </c>
      <c r="C13" s="21">
        <f>((Levers!$C$33-Levers!$C$29)*(1+$C$6)^0+Levers!$C$29)*Inputs!$C$40</f>
        <v/>
      </c>
      <c r="D13" s="21">
        <f>((Levers!$D$33-Levers!$D$29)*(1+$C$6)^0+Levers!$D$29)*Inputs!$D$40</f>
        <v/>
      </c>
      <c r="E13" s="21">
        <f>((Levers!$E$33-Levers!$E$29)*(1+$C$6)^0+Levers!$E$29)*Inputs!$E$40</f>
        <v/>
      </c>
    </row>
    <row r="14">
      <c r="A14" t="inlineStr">
        <is>
          <t>Benefit Y2, grown base</t>
        </is>
      </c>
      <c r="C14" s="21">
        <f>((Levers!$C$33-Levers!$C$29)*(1+$C$6)^1+Levers!$C$29)*Inputs!$C$41</f>
        <v/>
      </c>
      <c r="D14" s="21">
        <f>((Levers!$D$33-Levers!$D$29)*(1+$C$6)^1+Levers!$D$29)*Inputs!$D$41</f>
        <v/>
      </c>
      <c r="E14" s="21">
        <f>((Levers!$E$33-Levers!$E$29)*(1+$C$6)^1+Levers!$E$29)*Inputs!$E$41</f>
        <v/>
      </c>
    </row>
    <row r="15">
      <c r="A15" t="inlineStr">
        <is>
          <t>Benefit Y3, grown base</t>
        </is>
      </c>
      <c r="C15" s="21">
        <f>((Levers!$C$33-Levers!$C$29)*(1+$C$6)^2+Levers!$C$29)*Inputs!$C$42</f>
        <v/>
      </c>
      <c r="D15" s="21">
        <f>((Levers!$D$33-Levers!$D$29)*(1+$C$6)^2+Levers!$D$29)*Inputs!$D$42</f>
        <v/>
      </c>
      <c r="E15" s="21">
        <f>((Levers!$E$33-Levers!$E$29)*(1+$C$6)^2+Levers!$E$29)*Inputs!$E$42</f>
        <v/>
      </c>
    </row>
    <row r="16">
      <c r="A16" t="inlineStr">
        <is>
          <t>3-year NPV, current base</t>
        </is>
      </c>
      <c r="C16" s="23">
        <f>Levers!$C$52</f>
        <v/>
      </c>
      <c r="D16" s="23">
        <f>Levers!$D$52</f>
        <v/>
      </c>
      <c r="E16" s="23">
        <f>Levers!$E$52</f>
        <v/>
      </c>
    </row>
    <row r="17">
      <c r="A17" t="inlineStr">
        <is>
          <t>3-year NPV, grown base</t>
        </is>
      </c>
      <c r="C17" s="23">
        <f>(C13-Levers!$C$44)/(1+Inputs!$C$27)+(C14-Levers!$C$45)/(1+Inputs!$C$27)^2+(C15-Levers!$C$46)/(1+Inputs!$C$27)^3</f>
        <v/>
      </c>
      <c r="D17" s="23">
        <f>(D13-Levers!$D$44)/(1+Inputs!$D$27)+(D14-Levers!$D$45)/(1+Inputs!$D$27)^2+(D15-Levers!$D$46)/(1+Inputs!$D$27)^3</f>
        <v/>
      </c>
      <c r="E17" s="23">
        <f>(E13-Levers!$E$44)/(1+Inputs!$E$27)+(E14-Levers!$E$45)/(1+Inputs!$E$27)^2+(E15-Levers!$E$46)/(1+Inputs!$E$27)^3</f>
        <v/>
      </c>
    </row>
    <row r="18">
      <c r="A18" t="inlineStr">
        <is>
          <t>ROI multiple, grown base</t>
        </is>
      </c>
      <c r="C18" s="25">
        <f>(C13/(1+Inputs!$C$27)+C14/(1+Inputs!$C$27)^2+C15/(1+Inputs!$C$27)^3)/Levers!$C$51</f>
        <v/>
      </c>
      <c r="D18" s="25">
        <f>(D13/(1+Inputs!$D$27)+D14/(1+Inputs!$D$27)^2+D15/(1+Inputs!$D$27)^3)/Levers!$D$51</f>
        <v/>
      </c>
      <c r="E18" s="25">
        <f>(E13/(1+Inputs!$E$27)+E14/(1+Inputs!$E$27)^2+E15/(1+Inputs!$E$27)^3)/Levers!$E$51</f>
        <v/>
      </c>
    </row>
    <row r="19">
      <c r="A19" t="inlineStr">
        <is>
          <t>Annual benefit at full adoption in Y3, grown base</t>
        </is>
      </c>
      <c r="C19" s="21">
        <f>(Levers!$C$33-Levers!$C$29)*(1+$C$6)^2+Levers!$C$29</f>
        <v/>
      </c>
      <c r="D19" s="21">
        <f>(Levers!$D$33-Levers!$D$29)*(1+$C$6)^2+Levers!$D$29</f>
        <v/>
      </c>
      <c r="E19" s="21">
        <f>(Levers!$E$33-Levers!$E$29)*(1+$C$6)^2+Levers!$E$29</f>
        <v/>
      </c>
    </row>
  </sheetData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Sensitivity - tornado on 3-year NPV (one driver at a time, others at base)</t>
        </is>
      </c>
    </row>
    <row r="2" ht="45" customHeight="1">
      <c r="A2" s="2" t="inlineStr">
        <is>
          <t>Each driver is moved to its Low and High input while all others stay at Base. Rows are ordered by swing at build time; the Rank column recalculates if inputs change. The top 5 are the drivers to test in the pilot. The calculation block below repeats the full Levers chain for every run.</t>
        </is>
      </c>
    </row>
    <row r="4">
      <c r="A4" s="26" t="inlineStr">
        <is>
          <t>Driver</t>
        </is>
      </c>
      <c r="B4" s="26" t="inlineStr">
        <is>
          <t>Low input</t>
        </is>
      </c>
      <c r="C4" s="26" t="inlineStr">
        <is>
          <t>High input</t>
        </is>
      </c>
      <c r="D4" s="26" t="inlineStr">
        <is>
          <t>NPV at low input</t>
        </is>
      </c>
      <c r="E4" s="26" t="inlineStr">
        <is>
          <t>NPV at high input</t>
        </is>
      </c>
      <c r="F4" s="26" t="inlineStr">
        <is>
          <t>Base NPV</t>
        </is>
      </c>
      <c r="G4" s="26" t="inlineStr">
        <is>
          <t>Swing (abs)</t>
        </is>
      </c>
      <c r="H4" s="26" t="inlineStr">
        <is>
          <t>Rank</t>
        </is>
      </c>
      <c r="I4" s="26" t="inlineStr">
        <is>
          <t>Top 5?</t>
        </is>
      </c>
    </row>
    <row r="5">
      <c r="A5" t="inlineStr">
        <is>
          <t>Markdown reduction (md_red)</t>
        </is>
      </c>
      <c r="B5" s="10">
        <f>Inputs!$C$52</f>
        <v/>
      </c>
      <c r="C5" s="10">
        <f>Inputs!$E$52</f>
        <v/>
      </c>
      <c r="D5" s="21">
        <f>B70</f>
        <v/>
      </c>
      <c r="E5" s="21">
        <f>C70</f>
        <v/>
      </c>
      <c r="F5" s="21">
        <f>Levers!$D$52</f>
        <v/>
      </c>
      <c r="G5" s="21">
        <f>ABS(E5-D5)</f>
        <v/>
      </c>
      <c r="H5">
        <f>COUNTIF($G$5:$G$17,"&gt;"&amp;G5)+1</f>
        <v/>
      </c>
      <c r="I5" s="4">
        <f>IF(H5&lt;=5,"TOP 5","")</f>
        <v/>
      </c>
    </row>
    <row r="6">
      <c r="A6" t="inlineStr">
        <is>
          <t>Cost multiplier</t>
        </is>
      </c>
      <c r="B6" s="31">
        <f>Inputs!$C$39</f>
        <v/>
      </c>
      <c r="C6" s="31">
        <f>Inputs!$E$39</f>
        <v/>
      </c>
      <c r="D6" s="21">
        <f>D70</f>
        <v/>
      </c>
      <c r="E6" s="21">
        <f>E70</f>
        <v/>
      </c>
      <c r="F6" s="21">
        <f>Levers!$D$52</f>
        <v/>
      </c>
      <c r="G6" s="21">
        <f>ABS(E6-D6)</f>
        <v/>
      </c>
      <c r="H6">
        <f>COUNTIF($G$5:$G$17,"&gt;"&amp;G6)+1</f>
        <v/>
      </c>
      <c r="I6" s="4">
        <f>IF(H6&lt;=5,"TOP 5","")</f>
        <v/>
      </c>
    </row>
    <row r="7">
      <c r="A7" t="inlineStr">
        <is>
          <t>Markdown cost share (md_pct)</t>
        </is>
      </c>
      <c r="B7" s="10">
        <f>Inputs!$C$28</f>
        <v/>
      </c>
      <c r="C7" s="10">
        <f>Inputs!$E$28</f>
        <v/>
      </c>
      <c r="D7" s="21">
        <f>F70</f>
        <v/>
      </c>
      <c r="E7" s="21">
        <f>G70</f>
        <v/>
      </c>
      <c r="F7" s="21">
        <f>Levers!$D$52</f>
        <v/>
      </c>
      <c r="G7" s="21">
        <f>ABS(E7-D7)</f>
        <v/>
      </c>
      <c r="H7">
        <f>COUNTIF($G$5:$G$17,"&gt;"&amp;G7)+1</f>
        <v/>
      </c>
      <c r="I7" s="4">
        <f>IF(H7&lt;=5,"TOP 5","")</f>
        <v/>
      </c>
    </row>
    <row r="8">
      <c r="A8" t="inlineStr">
        <is>
          <t>Adoption ramp Y1-Y3</t>
        </is>
      </c>
      <c r="B8" s="10">
        <f>Inputs!$C$40</f>
        <v/>
      </c>
      <c r="C8" s="10">
        <f>Inputs!$E$40</f>
        <v/>
      </c>
      <c r="D8" s="21">
        <f>H70</f>
        <v/>
      </c>
      <c r="E8" s="21">
        <f>I70</f>
        <v/>
      </c>
      <c r="F8" s="21">
        <f>Levers!$D$52</f>
        <v/>
      </c>
      <c r="G8" s="21">
        <f>ABS(E8-D8)</f>
        <v/>
      </c>
      <c r="H8">
        <f>COUNTIF($G$5:$G$17,"&gt;"&amp;G8)+1</f>
        <v/>
      </c>
      <c r="I8" s="4">
        <f>IF(H8&lt;=5,"TOP 5","")</f>
        <v/>
      </c>
    </row>
    <row r="9">
      <c r="A9" t="inlineStr">
        <is>
          <t>Lost-sales reduction (ls_red)</t>
        </is>
      </c>
      <c r="B9" s="10">
        <f>Inputs!$C$48</f>
        <v/>
      </c>
      <c r="C9" s="10">
        <f>Inputs!$E$48</f>
        <v/>
      </c>
      <c r="D9" s="21">
        <f>J70</f>
        <v/>
      </c>
      <c r="E9" s="21">
        <f>K70</f>
        <v/>
      </c>
      <c r="F9" s="21">
        <f>Levers!$D$52</f>
        <v/>
      </c>
      <c r="G9" s="21">
        <f>ABS(E9-D9)</f>
        <v/>
      </c>
      <c r="H9">
        <f>COUNTIF($G$5:$G$17,"&gt;"&amp;G9)+1</f>
        <v/>
      </c>
      <c r="I9" s="4">
        <f>IF(H9&lt;=5,"TOP 5","")</f>
        <v/>
      </c>
    </row>
    <row r="10">
      <c r="A10" t="inlineStr">
        <is>
          <t>Overlap haircut</t>
        </is>
      </c>
      <c r="B10" s="10">
        <f>Inputs!$C$43</f>
        <v/>
      </c>
      <c r="C10" s="10">
        <f>Inputs!$E$43</f>
        <v/>
      </c>
      <c r="D10" s="21">
        <f>L70</f>
        <v/>
      </c>
      <c r="E10" s="21">
        <f>M70</f>
        <v/>
      </c>
      <c r="F10" s="21">
        <f>Levers!$D$52</f>
        <v/>
      </c>
      <c r="G10" s="21">
        <f>ABS(E10-D10)</f>
        <v/>
      </c>
      <c r="H10">
        <f>COUNTIF($G$5:$G$17,"&gt;"&amp;G10)+1</f>
        <v/>
      </c>
      <c r="I10" s="4">
        <f>IF(H10&lt;=5,"TOP 5","")</f>
        <v/>
      </c>
    </row>
    <row r="11">
      <c r="A11" t="inlineStr">
        <is>
          <t>Realisable share of stock-out proxy</t>
        </is>
      </c>
      <c r="B11" s="10">
        <f>Inputs!$C$49</f>
        <v/>
      </c>
      <c r="C11" s="10">
        <f>Inputs!$E$49</f>
        <v/>
      </c>
      <c r="D11" s="21">
        <f>N70</f>
        <v/>
      </c>
      <c r="E11" s="21">
        <f>O70</f>
        <v/>
      </c>
      <c r="F11" s="21">
        <f>Levers!$D$52</f>
        <v/>
      </c>
      <c r="G11" s="21">
        <f>ABS(E11-D11)</f>
        <v/>
      </c>
      <c r="H11">
        <f>COUNTIF($G$5:$G$17,"&gt;"&amp;G11)+1</f>
        <v/>
      </c>
      <c r="I11" s="4">
        <f>IF(H11&lt;=5,"TOP 5","")</f>
        <v/>
      </c>
    </row>
    <row r="12">
      <c r="A12" t="inlineStr">
        <is>
          <t>Inventory reduction (inv_red)</t>
        </is>
      </c>
      <c r="B12" s="10">
        <f>Inputs!$C$51</f>
        <v/>
      </c>
      <c r="C12" s="10">
        <f>Inputs!$E$51</f>
        <v/>
      </c>
      <c r="D12" s="21">
        <f>P70</f>
        <v/>
      </c>
      <c r="E12" s="21">
        <f>Q70</f>
        <v/>
      </c>
      <c r="F12" s="21">
        <f>Levers!$D$52</f>
        <v/>
      </c>
      <c r="G12" s="21">
        <f>ABS(E12-D12)</f>
        <v/>
      </c>
      <c r="H12">
        <f>COUNTIF($G$5:$G$17,"&gt;"&amp;G12)+1</f>
        <v/>
      </c>
      <c r="I12" s="4">
        <f>IF(H12&lt;=5,"TOP 5","")</f>
        <v/>
      </c>
    </row>
    <row r="13">
      <c r="A13" t="inlineStr">
        <is>
          <t>Sales-lift cap</t>
        </is>
      </c>
      <c r="B13" s="10">
        <f>Inputs!$C$50</f>
        <v/>
      </c>
      <c r="C13" s="10">
        <f>Inputs!$E$50</f>
        <v/>
      </c>
      <c r="D13" s="21">
        <f>R70</f>
        <v/>
      </c>
      <c r="E13" s="21">
        <f>S70</f>
        <v/>
      </c>
      <c r="F13" s="21">
        <f>Levers!$D$52</f>
        <v/>
      </c>
      <c r="G13" s="21">
        <f>ABS(E13-D13)</f>
        <v/>
      </c>
      <c r="H13">
        <f>COUNTIF($G$5:$G$17,"&gt;"&amp;G13)+1</f>
        <v/>
      </c>
      <c r="I13" s="4">
        <f>IF(H13&lt;=5,"TOP 5","")</f>
        <v/>
      </c>
    </row>
    <row r="14">
      <c r="A14" t="inlineStr">
        <is>
          <t>Planner time saved</t>
        </is>
      </c>
      <c r="B14" s="10">
        <f>Inputs!$C$55</f>
        <v/>
      </c>
      <c r="C14" s="10">
        <f>Inputs!$E$55</f>
        <v/>
      </c>
      <c r="D14" s="21">
        <f>T70</f>
        <v/>
      </c>
      <c r="E14" s="21">
        <f>U70</f>
        <v/>
      </c>
      <c r="F14" s="21">
        <f>Levers!$D$52</f>
        <v/>
      </c>
      <c r="G14" s="21">
        <f>ABS(E14-D14)</f>
        <v/>
      </c>
      <c r="H14">
        <f>COUNTIF($G$5:$G$17,"&gt;"&amp;G14)+1</f>
        <v/>
      </c>
      <c r="I14" s="4">
        <f>IF(H14&lt;=5,"TOP 5","")</f>
        <v/>
      </c>
    </row>
    <row r="15">
      <c r="A15" t="inlineStr">
        <is>
          <t>Cost of capital (coc)</t>
        </is>
      </c>
      <c r="B15" s="10">
        <f>Inputs!$C$26</f>
        <v/>
      </c>
      <c r="C15" s="10">
        <f>Inputs!$E$26</f>
        <v/>
      </c>
      <c r="D15" s="21">
        <f>V70</f>
        <v/>
      </c>
      <c r="E15" s="21">
        <f>W70</f>
        <v/>
      </c>
      <c r="F15" s="21">
        <f>Levers!$D$52</f>
        <v/>
      </c>
      <c r="G15" s="21">
        <f>ABS(E15-D15)</f>
        <v/>
      </c>
      <c r="H15">
        <f>COUNTIF($G$5:$G$17,"&gt;"&amp;G15)+1</f>
        <v/>
      </c>
      <c r="I15" s="4">
        <f>IF(H15&lt;=5,"TOP 5","")</f>
        <v/>
      </c>
    </row>
    <row r="16">
      <c r="A16" t="inlineStr">
        <is>
          <t>Size or fit return reduction</t>
        </is>
      </c>
      <c r="B16" s="10">
        <f>Inputs!$C$54</f>
        <v/>
      </c>
      <c r="C16" s="10">
        <f>Inputs!$E$54</f>
        <v/>
      </c>
      <c r="D16" s="21">
        <f>X70</f>
        <v/>
      </c>
      <c r="E16" s="21">
        <f>Y70</f>
        <v/>
      </c>
      <c r="F16" s="21">
        <f>Levers!$D$52</f>
        <v/>
      </c>
      <c r="G16" s="21">
        <f>ABS(E16-D16)</f>
        <v/>
      </c>
      <c r="H16">
        <f>COUNTIF($G$5:$G$17,"&gt;"&amp;G16)+1</f>
        <v/>
      </c>
      <c r="I16" s="4">
        <f>IF(H16&lt;=5,"TOP 5","")</f>
        <v/>
      </c>
    </row>
    <row r="17">
      <c r="A17" t="inlineStr">
        <is>
          <t>Gross margin (gm)</t>
        </is>
      </c>
      <c r="B17" s="10">
        <f>Inputs!$C$24</f>
        <v/>
      </c>
      <c r="C17" s="10">
        <f>Inputs!$E$24</f>
        <v/>
      </c>
      <c r="D17" s="21">
        <f>Z70</f>
        <v/>
      </c>
      <c r="E17" s="21">
        <f>AA70</f>
        <v/>
      </c>
      <c r="F17" s="21">
        <f>Levers!$D$52</f>
        <v/>
      </c>
      <c r="G17" s="21">
        <f>ABS(E17-D17)</f>
        <v/>
      </c>
      <c r="H17">
        <f>COUNTIF($G$5:$G$17,"&gt;"&amp;G17)+1</f>
        <v/>
      </c>
      <c r="I17" s="4">
        <f>IF(H17&lt;=5,"TOP 5","")</f>
        <v/>
      </c>
    </row>
    <row r="18">
      <c r="A18" s="5" t="inlineStr">
        <is>
          <t>Ramp row: Y1/Y2/Y3 move together; inputs shown are Y1.</t>
        </is>
      </c>
    </row>
    <row r="21">
      <c r="A21" s="4" t="inlineStr">
        <is>
          <t>Calculation block (one column per run)</t>
        </is>
      </c>
    </row>
    <row r="22">
      <c r="B22" s="32" t="inlineStr">
        <is>
          <t>Markdown reduction (md_red) - low</t>
        </is>
      </c>
      <c r="C22" s="32" t="inlineStr">
        <is>
          <t>Markdown reduction (md_red) - high</t>
        </is>
      </c>
      <c r="D22" s="32" t="inlineStr">
        <is>
          <t>Cost multiplier - low</t>
        </is>
      </c>
      <c r="E22" s="32" t="inlineStr">
        <is>
          <t>Cost multiplier - high</t>
        </is>
      </c>
      <c r="F22" s="32" t="inlineStr">
        <is>
          <t>Markdown cost share (md_pct) - low</t>
        </is>
      </c>
      <c r="G22" s="32" t="inlineStr">
        <is>
          <t>Markdown cost share (md_pct) - high</t>
        </is>
      </c>
      <c r="H22" s="32" t="inlineStr">
        <is>
          <t>Adoption ramp Y1-Y3 - low</t>
        </is>
      </c>
      <c r="I22" s="32" t="inlineStr">
        <is>
          <t>Adoption ramp Y1-Y3 - high</t>
        </is>
      </c>
      <c r="J22" s="32" t="inlineStr">
        <is>
          <t>Lost-sales reduction (ls_red) - low</t>
        </is>
      </c>
      <c r="K22" s="32" t="inlineStr">
        <is>
          <t>Lost-sales reduction (ls_red) - high</t>
        </is>
      </c>
      <c r="L22" s="32" t="inlineStr">
        <is>
          <t>Overlap haircut - low</t>
        </is>
      </c>
      <c r="M22" s="32" t="inlineStr">
        <is>
          <t>Overlap haircut - high</t>
        </is>
      </c>
      <c r="N22" s="32" t="inlineStr">
        <is>
          <t>Realisable share of stock-out proxy - low</t>
        </is>
      </c>
      <c r="O22" s="32" t="inlineStr">
        <is>
          <t>Realisable share of stock-out proxy - high</t>
        </is>
      </c>
      <c r="P22" s="32" t="inlineStr">
        <is>
          <t>Inventory reduction (inv_red) - low</t>
        </is>
      </c>
      <c r="Q22" s="32" t="inlineStr">
        <is>
          <t>Inventory reduction (inv_red) - high</t>
        </is>
      </c>
      <c r="R22" s="32" t="inlineStr">
        <is>
          <t>Sales-lift cap - low</t>
        </is>
      </c>
      <c r="S22" s="32" t="inlineStr">
        <is>
          <t>Sales-lift cap - high</t>
        </is>
      </c>
      <c r="T22" s="32" t="inlineStr">
        <is>
          <t>Planner time saved - low</t>
        </is>
      </c>
      <c r="U22" s="32" t="inlineStr">
        <is>
          <t>Planner time saved - high</t>
        </is>
      </c>
      <c r="V22" s="32" t="inlineStr">
        <is>
          <t>Cost of capital (coc) - low</t>
        </is>
      </c>
      <c r="W22" s="32" t="inlineStr">
        <is>
          <t>Cost of capital (coc) - high</t>
        </is>
      </c>
      <c r="X22" s="32" t="inlineStr">
        <is>
          <t>Size or fit return reduction - low</t>
        </is>
      </c>
      <c r="Y22" s="32" t="inlineStr">
        <is>
          <t>Size or fit return reduction - high</t>
        </is>
      </c>
      <c r="Z22" s="32" t="inlineStr">
        <is>
          <t>Gross margin (gm) - low</t>
        </is>
      </c>
      <c r="AA22" s="32" t="inlineStr">
        <is>
          <t>Gross margin (gm) - high</t>
        </is>
      </c>
    </row>
    <row r="23">
      <c r="A23" s="4" t="inlineStr">
        <is>
          <t>Common</t>
        </is>
      </c>
    </row>
    <row r="24">
      <c r="A24" t="inlineStr">
        <is>
          <t>VAT divisor (1 + VAT)</t>
        </is>
      </c>
      <c r="B24" s="20">
        <f>1+Inputs!$D$23</f>
        <v/>
      </c>
      <c r="C24" s="20">
        <f>1+Inputs!$D$23</f>
        <v/>
      </c>
      <c r="D24" s="20">
        <f>1+Inputs!$D$23</f>
        <v/>
      </c>
      <c r="E24" s="20">
        <f>1+Inputs!$D$23</f>
        <v/>
      </c>
      <c r="F24" s="20">
        <f>1+Inputs!$D$23</f>
        <v/>
      </c>
      <c r="G24" s="20">
        <f>1+Inputs!$D$23</f>
        <v/>
      </c>
      <c r="H24" s="20">
        <f>1+Inputs!$D$23</f>
        <v/>
      </c>
      <c r="I24" s="20">
        <f>1+Inputs!$D$23</f>
        <v/>
      </c>
      <c r="J24" s="20">
        <f>1+Inputs!$D$23</f>
        <v/>
      </c>
      <c r="K24" s="20">
        <f>1+Inputs!$D$23</f>
        <v/>
      </c>
      <c r="L24" s="20">
        <f>1+Inputs!$D$23</f>
        <v/>
      </c>
      <c r="M24" s="20">
        <f>1+Inputs!$D$23</f>
        <v/>
      </c>
      <c r="N24" s="20">
        <f>1+Inputs!$D$23</f>
        <v/>
      </c>
      <c r="O24" s="20">
        <f>1+Inputs!$D$23</f>
        <v/>
      </c>
      <c r="P24" s="20">
        <f>1+Inputs!$D$23</f>
        <v/>
      </c>
      <c r="Q24" s="20">
        <f>1+Inputs!$D$23</f>
        <v/>
      </c>
      <c r="R24" s="20">
        <f>1+Inputs!$D$23</f>
        <v/>
      </c>
      <c r="S24" s="20">
        <f>1+Inputs!$D$23</f>
        <v/>
      </c>
      <c r="T24" s="20">
        <f>1+Inputs!$D$23</f>
        <v/>
      </c>
      <c r="U24" s="20">
        <f>1+Inputs!$D$23</f>
        <v/>
      </c>
      <c r="V24" s="20">
        <f>1+Inputs!$D$23</f>
        <v/>
      </c>
      <c r="W24" s="20">
        <f>1+Inputs!$D$23</f>
        <v/>
      </c>
      <c r="X24" s="20">
        <f>1+Inputs!$D$23</f>
        <v/>
      </c>
      <c r="Y24" s="20">
        <f>1+Inputs!$D$23</f>
        <v/>
      </c>
      <c r="Z24" s="20">
        <f>1+Inputs!$D$23</f>
        <v/>
      </c>
      <c r="AA24" s="20">
        <f>1+Inputs!$D$23</f>
        <v/>
      </c>
    </row>
    <row r="25">
      <c r="A25" t="inlineStr">
        <is>
          <t>Net revenue ex VAT</t>
        </is>
      </c>
      <c r="B25" s="21">
        <f>Inputs!$D$9/B24</f>
        <v/>
      </c>
      <c r="C25" s="21">
        <f>Inputs!$D$9/C24</f>
        <v/>
      </c>
      <c r="D25" s="21">
        <f>Inputs!$D$9/D24</f>
        <v/>
      </c>
      <c r="E25" s="21">
        <f>Inputs!$D$9/E24</f>
        <v/>
      </c>
      <c r="F25" s="21">
        <f>Inputs!$D$9/F24</f>
        <v/>
      </c>
      <c r="G25" s="21">
        <f>Inputs!$D$9/G24</f>
        <v/>
      </c>
      <c r="H25" s="21">
        <f>Inputs!$D$9/H24</f>
        <v/>
      </c>
      <c r="I25" s="21">
        <f>Inputs!$D$9/I24</f>
        <v/>
      </c>
      <c r="J25" s="21">
        <f>Inputs!$D$9/J24</f>
        <v/>
      </c>
      <c r="K25" s="21">
        <f>Inputs!$D$9/K24</f>
        <v/>
      </c>
      <c r="L25" s="21">
        <f>Inputs!$D$9/L24</f>
        <v/>
      </c>
      <c r="M25" s="21">
        <f>Inputs!$D$9/M24</f>
        <v/>
      </c>
      <c r="N25" s="21">
        <f>Inputs!$D$9/N24</f>
        <v/>
      </c>
      <c r="O25" s="21">
        <f>Inputs!$D$9/O24</f>
        <v/>
      </c>
      <c r="P25" s="21">
        <f>Inputs!$D$9/P24</f>
        <v/>
      </c>
      <c r="Q25" s="21">
        <f>Inputs!$D$9/Q24</f>
        <v/>
      </c>
      <c r="R25" s="21">
        <f>Inputs!$D$9/R24</f>
        <v/>
      </c>
      <c r="S25" s="21">
        <f>Inputs!$D$9/S24</f>
        <v/>
      </c>
      <c r="T25" s="21">
        <f>Inputs!$D$9/T24</f>
        <v/>
      </c>
      <c r="U25" s="21">
        <f>Inputs!$D$9/U24</f>
        <v/>
      </c>
      <c r="V25" s="21">
        <f>Inputs!$D$9/V24</f>
        <v/>
      </c>
      <c r="W25" s="21">
        <f>Inputs!$D$9/W24</f>
        <v/>
      </c>
      <c r="X25" s="21">
        <f>Inputs!$D$9/X24</f>
        <v/>
      </c>
      <c r="Y25" s="21">
        <f>Inputs!$D$9/Y24</f>
        <v/>
      </c>
      <c r="Z25" s="21">
        <f>Inputs!$D$9/Z24</f>
        <v/>
      </c>
      <c r="AA25" s="21">
        <f>Inputs!$D$9/AA24</f>
        <v/>
      </c>
    </row>
    <row r="26">
      <c r="A26" t="inlineStr">
        <is>
          <t>Contribution margin on extra sales</t>
        </is>
      </c>
      <c r="B26" s="10">
        <f>Inputs!$D$24-Inputs!$D$25</f>
        <v/>
      </c>
      <c r="C26" s="10">
        <f>Inputs!$D$24-Inputs!$D$25</f>
        <v/>
      </c>
      <c r="D26" s="10">
        <f>Inputs!$D$24-Inputs!$D$25</f>
        <v/>
      </c>
      <c r="E26" s="10">
        <f>Inputs!$D$24-Inputs!$D$25</f>
        <v/>
      </c>
      <c r="F26" s="10">
        <f>Inputs!$D$24-Inputs!$D$25</f>
        <v/>
      </c>
      <c r="G26" s="10">
        <f>Inputs!$D$24-Inputs!$D$25</f>
        <v/>
      </c>
      <c r="H26" s="10">
        <f>Inputs!$D$24-Inputs!$D$25</f>
        <v/>
      </c>
      <c r="I26" s="10">
        <f>Inputs!$D$24-Inputs!$D$25</f>
        <v/>
      </c>
      <c r="J26" s="10">
        <f>Inputs!$D$24-Inputs!$D$25</f>
        <v/>
      </c>
      <c r="K26" s="10">
        <f>Inputs!$D$24-Inputs!$D$25</f>
        <v/>
      </c>
      <c r="L26" s="10">
        <f>Inputs!$D$24-Inputs!$D$25</f>
        <v/>
      </c>
      <c r="M26" s="10">
        <f>Inputs!$D$24-Inputs!$D$25</f>
        <v/>
      </c>
      <c r="N26" s="10">
        <f>Inputs!$D$24-Inputs!$D$25</f>
        <v/>
      </c>
      <c r="O26" s="10">
        <f>Inputs!$D$24-Inputs!$D$25</f>
        <v/>
      </c>
      <c r="P26" s="10">
        <f>Inputs!$D$24-Inputs!$D$25</f>
        <v/>
      </c>
      <c r="Q26" s="10">
        <f>Inputs!$D$24-Inputs!$D$25</f>
        <v/>
      </c>
      <c r="R26" s="10">
        <f>Inputs!$D$24-Inputs!$D$25</f>
        <v/>
      </c>
      <c r="S26" s="10">
        <f>Inputs!$D$24-Inputs!$D$25</f>
        <v/>
      </c>
      <c r="T26" s="10">
        <f>Inputs!$D$24-Inputs!$D$25</f>
        <v/>
      </c>
      <c r="U26" s="10">
        <f>Inputs!$D$24-Inputs!$D$25</f>
        <v/>
      </c>
      <c r="V26" s="10">
        <f>Inputs!$D$24-Inputs!$D$25</f>
        <v/>
      </c>
      <c r="W26" s="10">
        <f>Inputs!$D$24-Inputs!$D$25</f>
        <v/>
      </c>
      <c r="X26" s="10">
        <f>Inputs!$D$24-Inputs!$D$25</f>
        <v/>
      </c>
      <c r="Y26" s="10">
        <f>Inputs!$D$24-Inputs!$D$25</f>
        <v/>
      </c>
      <c r="Z26" s="10">
        <f>Inputs!$C$24-Inputs!$D$25</f>
        <v/>
      </c>
      <c r="AA26" s="10">
        <f>Inputs!$E$24-Inputs!$D$25</f>
        <v/>
      </c>
    </row>
    <row r="27">
      <c r="A27" s="4" t="inlineStr">
        <is>
          <t>(a) Recovered lost sales from fewer stock-outs</t>
        </is>
      </c>
    </row>
    <row r="28">
      <c r="A28" t="inlineStr">
        <is>
          <t>Softline lost demand a year (gross)</t>
        </is>
      </c>
      <c r="B28" s="21">
        <f>Inputs!$D$16*365*Inputs!$D$49</f>
        <v/>
      </c>
      <c r="C28" s="21">
        <f>Inputs!$D$16*365*Inputs!$D$49</f>
        <v/>
      </c>
      <c r="D28" s="21">
        <f>Inputs!$D$16*365*Inputs!$D$49</f>
        <v/>
      </c>
      <c r="E28" s="21">
        <f>Inputs!$D$16*365*Inputs!$D$49</f>
        <v/>
      </c>
      <c r="F28" s="21">
        <f>Inputs!$D$16*365*Inputs!$D$49</f>
        <v/>
      </c>
      <c r="G28" s="21">
        <f>Inputs!$D$16*365*Inputs!$D$49</f>
        <v/>
      </c>
      <c r="H28" s="21">
        <f>Inputs!$D$16*365*Inputs!$D$49</f>
        <v/>
      </c>
      <c r="I28" s="21">
        <f>Inputs!$D$16*365*Inputs!$D$49</f>
        <v/>
      </c>
      <c r="J28" s="21">
        <f>Inputs!$D$16*365*Inputs!$D$49</f>
        <v/>
      </c>
      <c r="K28" s="21">
        <f>Inputs!$D$16*365*Inputs!$D$49</f>
        <v/>
      </c>
      <c r="L28" s="21">
        <f>Inputs!$D$16*365*Inputs!$D$49</f>
        <v/>
      </c>
      <c r="M28" s="21">
        <f>Inputs!$D$16*365*Inputs!$D$49</f>
        <v/>
      </c>
      <c r="N28" s="21">
        <f>Inputs!$D$16*365*Inputs!$C$49</f>
        <v/>
      </c>
      <c r="O28" s="21">
        <f>Inputs!$D$16*365*Inputs!$E$49</f>
        <v/>
      </c>
      <c r="P28" s="21">
        <f>Inputs!$D$16*365*Inputs!$D$49</f>
        <v/>
      </c>
      <c r="Q28" s="21">
        <f>Inputs!$D$16*365*Inputs!$D$49</f>
        <v/>
      </c>
      <c r="R28" s="21">
        <f>Inputs!$D$16*365*Inputs!$D$49</f>
        <v/>
      </c>
      <c r="S28" s="21">
        <f>Inputs!$D$16*365*Inputs!$D$49</f>
        <v/>
      </c>
      <c r="T28" s="21">
        <f>Inputs!$D$16*365*Inputs!$D$49</f>
        <v/>
      </c>
      <c r="U28" s="21">
        <f>Inputs!$D$16*365*Inputs!$D$49</f>
        <v/>
      </c>
      <c r="V28" s="21">
        <f>Inputs!$D$16*365*Inputs!$D$49</f>
        <v/>
      </c>
      <c r="W28" s="21">
        <f>Inputs!$D$16*365*Inputs!$D$49</f>
        <v/>
      </c>
      <c r="X28" s="21">
        <f>Inputs!$D$16*365*Inputs!$D$49</f>
        <v/>
      </c>
      <c r="Y28" s="21">
        <f>Inputs!$D$16*365*Inputs!$D$49</f>
        <v/>
      </c>
      <c r="Z28" s="21">
        <f>Inputs!$D$16*365*Inputs!$D$49</f>
        <v/>
      </c>
      <c r="AA28" s="21">
        <f>Inputs!$D$16*365*Inputs!$D$49</f>
        <v/>
      </c>
    </row>
    <row r="29">
      <c r="A29" t="inlineStr">
        <is>
          <t>Hardline lost demand a year (gross)</t>
        </is>
      </c>
      <c r="B29" s="21">
        <f>B28/Inputs!$D$7*Inputs!$D$8*Inputs!$D$32</f>
        <v/>
      </c>
      <c r="C29" s="21">
        <f>C28/Inputs!$D$7*Inputs!$D$8*Inputs!$D$32</f>
        <v/>
      </c>
      <c r="D29" s="21">
        <f>D28/Inputs!$D$7*Inputs!$D$8*Inputs!$D$32</f>
        <v/>
      </c>
      <c r="E29" s="21">
        <f>E28/Inputs!$D$7*Inputs!$D$8*Inputs!$D$32</f>
        <v/>
      </c>
      <c r="F29" s="21">
        <f>F28/Inputs!$D$7*Inputs!$D$8*Inputs!$D$32</f>
        <v/>
      </c>
      <c r="G29" s="21">
        <f>G28/Inputs!$D$7*Inputs!$D$8*Inputs!$D$32</f>
        <v/>
      </c>
      <c r="H29" s="21">
        <f>H28/Inputs!$D$7*Inputs!$D$8*Inputs!$D$32</f>
        <v/>
      </c>
      <c r="I29" s="21">
        <f>I28/Inputs!$D$7*Inputs!$D$8*Inputs!$D$32</f>
        <v/>
      </c>
      <c r="J29" s="21">
        <f>J28/Inputs!$D$7*Inputs!$D$8*Inputs!$D$32</f>
        <v/>
      </c>
      <c r="K29" s="21">
        <f>K28/Inputs!$D$7*Inputs!$D$8*Inputs!$D$32</f>
        <v/>
      </c>
      <c r="L29" s="21">
        <f>L28/Inputs!$D$7*Inputs!$D$8*Inputs!$D$32</f>
        <v/>
      </c>
      <c r="M29" s="21">
        <f>M28/Inputs!$D$7*Inputs!$D$8*Inputs!$D$32</f>
        <v/>
      </c>
      <c r="N29" s="21">
        <f>N28/Inputs!$D$7*Inputs!$D$8*Inputs!$D$32</f>
        <v/>
      </c>
      <c r="O29" s="21">
        <f>O28/Inputs!$D$7*Inputs!$D$8*Inputs!$D$32</f>
        <v/>
      </c>
      <c r="P29" s="21">
        <f>P28/Inputs!$D$7*Inputs!$D$8*Inputs!$D$32</f>
        <v/>
      </c>
      <c r="Q29" s="21">
        <f>Q28/Inputs!$D$7*Inputs!$D$8*Inputs!$D$32</f>
        <v/>
      </c>
      <c r="R29" s="21">
        <f>R28/Inputs!$D$7*Inputs!$D$8*Inputs!$D$32</f>
        <v/>
      </c>
      <c r="S29" s="21">
        <f>S28/Inputs!$D$7*Inputs!$D$8*Inputs!$D$32</f>
        <v/>
      </c>
      <c r="T29" s="21">
        <f>T28/Inputs!$D$7*Inputs!$D$8*Inputs!$D$32</f>
        <v/>
      </c>
      <c r="U29" s="21">
        <f>U28/Inputs!$D$7*Inputs!$D$8*Inputs!$D$32</f>
        <v/>
      </c>
      <c r="V29" s="21">
        <f>V28/Inputs!$D$7*Inputs!$D$8*Inputs!$D$32</f>
        <v/>
      </c>
      <c r="W29" s="21">
        <f>W28/Inputs!$D$7*Inputs!$D$8*Inputs!$D$32</f>
        <v/>
      </c>
      <c r="X29" s="21">
        <f>X28/Inputs!$D$7*Inputs!$D$8*Inputs!$D$32</f>
        <v/>
      </c>
      <c r="Y29" s="21">
        <f>Y28/Inputs!$D$7*Inputs!$D$8*Inputs!$D$32</f>
        <v/>
      </c>
      <c r="Z29" s="21">
        <f>Z28/Inputs!$D$7*Inputs!$D$8*Inputs!$D$32</f>
        <v/>
      </c>
      <c r="AA29" s="21">
        <f>AA28/Inputs!$D$7*Inputs!$D$8*Inputs!$D$32</f>
        <v/>
      </c>
    </row>
    <row r="30">
      <c r="A30" t="inlineStr">
        <is>
          <t>Total lost demand a year (gross)</t>
        </is>
      </c>
      <c r="B30" s="21">
        <f>B28+B29</f>
        <v/>
      </c>
      <c r="C30" s="21">
        <f>C28+C29</f>
        <v/>
      </c>
      <c r="D30" s="21">
        <f>D28+D29</f>
        <v/>
      </c>
      <c r="E30" s="21">
        <f>E28+E29</f>
        <v/>
      </c>
      <c r="F30" s="21">
        <f>F28+F29</f>
        <v/>
      </c>
      <c r="G30" s="21">
        <f>G28+G29</f>
        <v/>
      </c>
      <c r="H30" s="21">
        <f>H28+H29</f>
        <v/>
      </c>
      <c r="I30" s="21">
        <f>I28+I29</f>
        <v/>
      </c>
      <c r="J30" s="21">
        <f>J28+J29</f>
        <v/>
      </c>
      <c r="K30" s="21">
        <f>K28+K29</f>
        <v/>
      </c>
      <c r="L30" s="21">
        <f>L28+L29</f>
        <v/>
      </c>
      <c r="M30" s="21">
        <f>M28+M29</f>
        <v/>
      </c>
      <c r="N30" s="21">
        <f>N28+N29</f>
        <v/>
      </c>
      <c r="O30" s="21">
        <f>O28+O29</f>
        <v/>
      </c>
      <c r="P30" s="21">
        <f>P28+P29</f>
        <v/>
      </c>
      <c r="Q30" s="21">
        <f>Q28+Q29</f>
        <v/>
      </c>
      <c r="R30" s="21">
        <f>R28+R29</f>
        <v/>
      </c>
      <c r="S30" s="21">
        <f>S28+S29</f>
        <v/>
      </c>
      <c r="T30" s="21">
        <f>T28+T29</f>
        <v/>
      </c>
      <c r="U30" s="21">
        <f>U28+U29</f>
        <v/>
      </c>
      <c r="V30" s="21">
        <f>V28+V29</f>
        <v/>
      </c>
      <c r="W30" s="21">
        <f>W28+W29</f>
        <v/>
      </c>
      <c r="X30" s="21">
        <f>X28+X29</f>
        <v/>
      </c>
      <c r="Y30" s="21">
        <f>Y28+Y29</f>
        <v/>
      </c>
      <c r="Z30" s="21">
        <f>Z28+Z29</f>
        <v/>
      </c>
      <c r="AA30" s="21">
        <f>AA28+AA29</f>
        <v/>
      </c>
    </row>
    <row r="31">
      <c r="A31" t="inlineStr">
        <is>
          <t>Recovered sales before cap</t>
        </is>
      </c>
      <c r="B31" s="21">
        <f>B30*Inputs!$D$48</f>
        <v/>
      </c>
      <c r="C31" s="21">
        <f>C30*Inputs!$D$48</f>
        <v/>
      </c>
      <c r="D31" s="21">
        <f>D30*Inputs!$D$48</f>
        <v/>
      </c>
      <c r="E31" s="21">
        <f>E30*Inputs!$D$48</f>
        <v/>
      </c>
      <c r="F31" s="21">
        <f>F30*Inputs!$D$48</f>
        <v/>
      </c>
      <c r="G31" s="21">
        <f>G30*Inputs!$D$48</f>
        <v/>
      </c>
      <c r="H31" s="21">
        <f>H30*Inputs!$D$48</f>
        <v/>
      </c>
      <c r="I31" s="21">
        <f>I30*Inputs!$D$48</f>
        <v/>
      </c>
      <c r="J31" s="21">
        <f>J30*Inputs!$C$48</f>
        <v/>
      </c>
      <c r="K31" s="21">
        <f>K30*Inputs!$E$48</f>
        <v/>
      </c>
      <c r="L31" s="21">
        <f>L30*Inputs!$D$48</f>
        <v/>
      </c>
      <c r="M31" s="21">
        <f>M30*Inputs!$D$48</f>
        <v/>
      </c>
      <c r="N31" s="21">
        <f>N30*Inputs!$D$48</f>
        <v/>
      </c>
      <c r="O31" s="21">
        <f>O30*Inputs!$D$48</f>
        <v/>
      </c>
      <c r="P31" s="21">
        <f>P30*Inputs!$D$48</f>
        <v/>
      </c>
      <c r="Q31" s="21">
        <f>Q30*Inputs!$D$48</f>
        <v/>
      </c>
      <c r="R31" s="21">
        <f>R30*Inputs!$D$48</f>
        <v/>
      </c>
      <c r="S31" s="21">
        <f>S30*Inputs!$D$48</f>
        <v/>
      </c>
      <c r="T31" s="21">
        <f>T30*Inputs!$D$48</f>
        <v/>
      </c>
      <c r="U31" s="21">
        <f>U30*Inputs!$D$48</f>
        <v/>
      </c>
      <c r="V31" s="21">
        <f>V30*Inputs!$D$48</f>
        <v/>
      </c>
      <c r="W31" s="21">
        <f>W30*Inputs!$D$48</f>
        <v/>
      </c>
      <c r="X31" s="21">
        <f>X30*Inputs!$D$48</f>
        <v/>
      </c>
      <c r="Y31" s="21">
        <f>Y30*Inputs!$D$48</f>
        <v/>
      </c>
      <c r="Z31" s="21">
        <f>Z30*Inputs!$D$48</f>
        <v/>
      </c>
      <c r="AA31" s="21">
        <f>AA30*Inputs!$D$48</f>
        <v/>
      </c>
    </row>
    <row r="32">
      <c r="A32" t="inlineStr">
        <is>
          <t>Cap: revenue x total sales lift</t>
        </is>
      </c>
      <c r="B32" s="21">
        <f>Inputs!$D$6*Inputs!$D$50</f>
        <v/>
      </c>
      <c r="C32" s="21">
        <f>Inputs!$D$6*Inputs!$D$50</f>
        <v/>
      </c>
      <c r="D32" s="21">
        <f>Inputs!$D$6*Inputs!$D$50</f>
        <v/>
      </c>
      <c r="E32" s="21">
        <f>Inputs!$D$6*Inputs!$D$50</f>
        <v/>
      </c>
      <c r="F32" s="21">
        <f>Inputs!$D$6*Inputs!$D$50</f>
        <v/>
      </c>
      <c r="G32" s="21">
        <f>Inputs!$D$6*Inputs!$D$50</f>
        <v/>
      </c>
      <c r="H32" s="21">
        <f>Inputs!$D$6*Inputs!$D$50</f>
        <v/>
      </c>
      <c r="I32" s="21">
        <f>Inputs!$D$6*Inputs!$D$50</f>
        <v/>
      </c>
      <c r="J32" s="21">
        <f>Inputs!$D$6*Inputs!$D$50</f>
        <v/>
      </c>
      <c r="K32" s="21">
        <f>Inputs!$D$6*Inputs!$D$50</f>
        <v/>
      </c>
      <c r="L32" s="21">
        <f>Inputs!$D$6*Inputs!$D$50</f>
        <v/>
      </c>
      <c r="M32" s="21">
        <f>Inputs!$D$6*Inputs!$D$50</f>
        <v/>
      </c>
      <c r="N32" s="21">
        <f>Inputs!$D$6*Inputs!$D$50</f>
        <v/>
      </c>
      <c r="O32" s="21">
        <f>Inputs!$D$6*Inputs!$D$50</f>
        <v/>
      </c>
      <c r="P32" s="21">
        <f>Inputs!$D$6*Inputs!$D$50</f>
        <v/>
      </c>
      <c r="Q32" s="21">
        <f>Inputs!$D$6*Inputs!$D$50</f>
        <v/>
      </c>
      <c r="R32" s="21">
        <f>Inputs!$D$6*Inputs!$C$50</f>
        <v/>
      </c>
      <c r="S32" s="21">
        <f>Inputs!$D$6*Inputs!$E$50</f>
        <v/>
      </c>
      <c r="T32" s="21">
        <f>Inputs!$D$6*Inputs!$D$50</f>
        <v/>
      </c>
      <c r="U32" s="21">
        <f>Inputs!$D$6*Inputs!$D$50</f>
        <v/>
      </c>
      <c r="V32" s="21">
        <f>Inputs!$D$6*Inputs!$D$50</f>
        <v/>
      </c>
      <c r="W32" s="21">
        <f>Inputs!$D$6*Inputs!$D$50</f>
        <v/>
      </c>
      <c r="X32" s="21">
        <f>Inputs!$D$6*Inputs!$D$50</f>
        <v/>
      </c>
      <c r="Y32" s="21">
        <f>Inputs!$D$6*Inputs!$D$50</f>
        <v/>
      </c>
      <c r="Z32" s="21">
        <f>Inputs!$D$6*Inputs!$D$50</f>
        <v/>
      </c>
      <c r="AA32" s="21">
        <f>Inputs!$D$6*Inputs!$D$50</f>
        <v/>
      </c>
    </row>
    <row r="33">
      <c r="A33" t="inlineStr">
        <is>
          <t>Recovered gross sales (lower of the two)</t>
        </is>
      </c>
      <c r="B33" s="21">
        <f>MIN(B31,B32)</f>
        <v/>
      </c>
      <c r="C33" s="21">
        <f>MIN(C31,C32)</f>
        <v/>
      </c>
      <c r="D33" s="21">
        <f>MIN(D31,D32)</f>
        <v/>
      </c>
      <c r="E33" s="21">
        <f>MIN(E31,E32)</f>
        <v/>
      </c>
      <c r="F33" s="21">
        <f>MIN(F31,F32)</f>
        <v/>
      </c>
      <c r="G33" s="21">
        <f>MIN(G31,G32)</f>
        <v/>
      </c>
      <c r="H33" s="21">
        <f>MIN(H31,H32)</f>
        <v/>
      </c>
      <c r="I33" s="21">
        <f>MIN(I31,I32)</f>
        <v/>
      </c>
      <c r="J33" s="21">
        <f>MIN(J31,J32)</f>
        <v/>
      </c>
      <c r="K33" s="21">
        <f>MIN(K31,K32)</f>
        <v/>
      </c>
      <c r="L33" s="21">
        <f>MIN(L31,L32)</f>
        <v/>
      </c>
      <c r="M33" s="21">
        <f>MIN(M31,M32)</f>
        <v/>
      </c>
      <c r="N33" s="21">
        <f>MIN(N31,N32)</f>
        <v/>
      </c>
      <c r="O33" s="21">
        <f>MIN(O31,O32)</f>
        <v/>
      </c>
      <c r="P33" s="21">
        <f>MIN(P31,P32)</f>
        <v/>
      </c>
      <c r="Q33" s="21">
        <f>MIN(Q31,Q32)</f>
        <v/>
      </c>
      <c r="R33" s="21">
        <f>MIN(R31,R32)</f>
        <v/>
      </c>
      <c r="S33" s="21">
        <f>MIN(S31,S32)</f>
        <v/>
      </c>
      <c r="T33" s="21">
        <f>MIN(T31,T32)</f>
        <v/>
      </c>
      <c r="U33" s="21">
        <f>MIN(U31,U32)</f>
        <v/>
      </c>
      <c r="V33" s="21">
        <f>MIN(V31,V32)</f>
        <v/>
      </c>
      <c r="W33" s="21">
        <f>MIN(W31,W32)</f>
        <v/>
      </c>
      <c r="X33" s="21">
        <f>MIN(X31,X32)</f>
        <v/>
      </c>
      <c r="Y33" s="21">
        <f>MIN(Y31,Y32)</f>
        <v/>
      </c>
      <c r="Z33" s="21">
        <f>MIN(Z31,Z32)</f>
        <v/>
      </c>
      <c r="AA33" s="21">
        <f>MIN(AA31,AA32)</f>
        <v/>
      </c>
    </row>
    <row r="34">
      <c r="A34" t="inlineStr">
        <is>
          <t>(a) Value: recovered sales at contribution margin</t>
        </is>
      </c>
      <c r="B34" s="22">
        <f>B33/B24*(1-Inputs!$D$11)*B26</f>
        <v/>
      </c>
      <c r="C34" s="22">
        <f>C33/C24*(1-Inputs!$D$11)*C26</f>
        <v/>
      </c>
      <c r="D34" s="22">
        <f>D33/D24*(1-Inputs!$D$11)*D26</f>
        <v/>
      </c>
      <c r="E34" s="22">
        <f>E33/E24*(1-Inputs!$D$11)*E26</f>
        <v/>
      </c>
      <c r="F34" s="22">
        <f>F33/F24*(1-Inputs!$D$11)*F26</f>
        <v/>
      </c>
      <c r="G34" s="22">
        <f>G33/G24*(1-Inputs!$D$11)*G26</f>
        <v/>
      </c>
      <c r="H34" s="22">
        <f>H33/H24*(1-Inputs!$D$11)*H26</f>
        <v/>
      </c>
      <c r="I34" s="22">
        <f>I33/I24*(1-Inputs!$D$11)*I26</f>
        <v/>
      </c>
      <c r="J34" s="22">
        <f>J33/J24*(1-Inputs!$D$11)*J26</f>
        <v/>
      </c>
      <c r="K34" s="22">
        <f>K33/K24*(1-Inputs!$D$11)*K26</f>
        <v/>
      </c>
      <c r="L34" s="22">
        <f>L33/L24*(1-Inputs!$D$11)*L26</f>
        <v/>
      </c>
      <c r="M34" s="22">
        <f>M33/M24*(1-Inputs!$D$11)*M26</f>
        <v/>
      </c>
      <c r="N34" s="22">
        <f>N33/N24*(1-Inputs!$D$11)*N26</f>
        <v/>
      </c>
      <c r="O34" s="22">
        <f>O33/O24*(1-Inputs!$D$11)*O26</f>
        <v/>
      </c>
      <c r="P34" s="22">
        <f>P33/P24*(1-Inputs!$D$11)*P26</f>
        <v/>
      </c>
      <c r="Q34" s="22">
        <f>Q33/Q24*(1-Inputs!$D$11)*Q26</f>
        <v/>
      </c>
      <c r="R34" s="22">
        <f>R33/R24*(1-Inputs!$D$11)*R26</f>
        <v/>
      </c>
      <c r="S34" s="22">
        <f>S33/S24*(1-Inputs!$D$11)*S26</f>
        <v/>
      </c>
      <c r="T34" s="22">
        <f>T33/T24*(1-Inputs!$D$11)*T26</f>
        <v/>
      </c>
      <c r="U34" s="22">
        <f>U33/U24*(1-Inputs!$D$11)*U26</f>
        <v/>
      </c>
      <c r="V34" s="22">
        <f>V33/V24*(1-Inputs!$D$11)*V26</f>
        <v/>
      </c>
      <c r="W34" s="22">
        <f>W33/W24*(1-Inputs!$D$11)*W26</f>
        <v/>
      </c>
      <c r="X34" s="22">
        <f>X33/X24*(1-Inputs!$D$11)*X26</f>
        <v/>
      </c>
      <c r="Y34" s="22">
        <f>Y33/Y24*(1-Inputs!$D$11)*Y26</f>
        <v/>
      </c>
      <c r="Z34" s="22">
        <f>Z33/Z24*(1-Inputs!$D$11)*Z26</f>
        <v/>
      </c>
      <c r="AA34" s="22">
        <f>AA33/AA24*(1-Inputs!$D$11)*AA26</f>
        <v/>
      </c>
    </row>
    <row r="35">
      <c r="A35" s="4" t="inlineStr">
        <is>
          <t>(b) Working capital released from lower inventory</t>
        </is>
      </c>
    </row>
    <row r="36">
      <c r="A36" t="inlineStr">
        <is>
          <t>Stock at cost, ex VAT</t>
        </is>
      </c>
      <c r="B36" s="21">
        <f>Inputs!$D$12/B24*(1-Inputs!$D$24)</f>
        <v/>
      </c>
      <c r="C36" s="21">
        <f>Inputs!$D$12/C24*(1-Inputs!$D$24)</f>
        <v/>
      </c>
      <c r="D36" s="21">
        <f>Inputs!$D$12/D24*(1-Inputs!$D$24)</f>
        <v/>
      </c>
      <c r="E36" s="21">
        <f>Inputs!$D$12/E24*(1-Inputs!$D$24)</f>
        <v/>
      </c>
      <c r="F36" s="21">
        <f>Inputs!$D$12/F24*(1-Inputs!$D$24)</f>
        <v/>
      </c>
      <c r="G36" s="21">
        <f>Inputs!$D$12/G24*(1-Inputs!$D$24)</f>
        <v/>
      </c>
      <c r="H36" s="21">
        <f>Inputs!$D$12/H24*(1-Inputs!$D$24)</f>
        <v/>
      </c>
      <c r="I36" s="21">
        <f>Inputs!$D$12/I24*(1-Inputs!$D$24)</f>
        <v/>
      </c>
      <c r="J36" s="21">
        <f>Inputs!$D$12/J24*(1-Inputs!$D$24)</f>
        <v/>
      </c>
      <c r="K36" s="21">
        <f>Inputs!$D$12/K24*(1-Inputs!$D$24)</f>
        <v/>
      </c>
      <c r="L36" s="21">
        <f>Inputs!$D$12/L24*(1-Inputs!$D$24)</f>
        <v/>
      </c>
      <c r="M36" s="21">
        <f>Inputs!$D$12/M24*(1-Inputs!$D$24)</f>
        <v/>
      </c>
      <c r="N36" s="21">
        <f>Inputs!$D$12/N24*(1-Inputs!$D$24)</f>
        <v/>
      </c>
      <c r="O36" s="21">
        <f>Inputs!$D$12/O24*(1-Inputs!$D$24)</f>
        <v/>
      </c>
      <c r="P36" s="21">
        <f>Inputs!$D$12/P24*(1-Inputs!$D$24)</f>
        <v/>
      </c>
      <c r="Q36" s="21">
        <f>Inputs!$D$12/Q24*(1-Inputs!$D$24)</f>
        <v/>
      </c>
      <c r="R36" s="21">
        <f>Inputs!$D$12/R24*(1-Inputs!$D$24)</f>
        <v/>
      </c>
      <c r="S36" s="21">
        <f>Inputs!$D$12/S24*(1-Inputs!$D$24)</f>
        <v/>
      </c>
      <c r="T36" s="21">
        <f>Inputs!$D$12/T24*(1-Inputs!$D$24)</f>
        <v/>
      </c>
      <c r="U36" s="21">
        <f>Inputs!$D$12/U24*(1-Inputs!$D$24)</f>
        <v/>
      </c>
      <c r="V36" s="21">
        <f>Inputs!$D$12/V24*(1-Inputs!$D$24)</f>
        <v/>
      </c>
      <c r="W36" s="21">
        <f>Inputs!$D$12/W24*(1-Inputs!$D$24)</f>
        <v/>
      </c>
      <c r="X36" s="21">
        <f>Inputs!$D$12/X24*(1-Inputs!$D$24)</f>
        <v/>
      </c>
      <c r="Y36" s="21">
        <f>Inputs!$D$12/Y24*(1-Inputs!$D$24)</f>
        <v/>
      </c>
      <c r="Z36" s="21">
        <f>Inputs!$D$12/Z24*(1-Inputs!$C$24)</f>
        <v/>
      </c>
      <c r="AA36" s="21">
        <f>Inputs!$D$12/AA24*(1-Inputs!$E$24)</f>
        <v/>
      </c>
    </row>
    <row r="37">
      <c r="A37" t="inlineStr">
        <is>
          <t>One-off cash release at full adoption (shown separately)</t>
        </is>
      </c>
      <c r="B37" s="22">
        <f>B36*Inputs!$D$51</f>
        <v/>
      </c>
      <c r="C37" s="22">
        <f>C36*Inputs!$D$51</f>
        <v/>
      </c>
      <c r="D37" s="22">
        <f>D36*Inputs!$D$51</f>
        <v/>
      </c>
      <c r="E37" s="22">
        <f>E36*Inputs!$D$51</f>
        <v/>
      </c>
      <c r="F37" s="22">
        <f>F36*Inputs!$D$51</f>
        <v/>
      </c>
      <c r="G37" s="22">
        <f>G36*Inputs!$D$51</f>
        <v/>
      </c>
      <c r="H37" s="22">
        <f>H36*Inputs!$D$51</f>
        <v/>
      </c>
      <c r="I37" s="22">
        <f>I36*Inputs!$D$51</f>
        <v/>
      </c>
      <c r="J37" s="22">
        <f>J36*Inputs!$D$51</f>
        <v/>
      </c>
      <c r="K37" s="22">
        <f>K36*Inputs!$D$51</f>
        <v/>
      </c>
      <c r="L37" s="22">
        <f>L36*Inputs!$D$51</f>
        <v/>
      </c>
      <c r="M37" s="22">
        <f>M36*Inputs!$D$51</f>
        <v/>
      </c>
      <c r="N37" s="22">
        <f>N36*Inputs!$D$51</f>
        <v/>
      </c>
      <c r="O37" s="22">
        <f>O36*Inputs!$D$51</f>
        <v/>
      </c>
      <c r="P37" s="22">
        <f>P36*Inputs!$C$51</f>
        <v/>
      </c>
      <c r="Q37" s="22">
        <f>Q36*Inputs!$E$51</f>
        <v/>
      </c>
      <c r="R37" s="22">
        <f>R36*Inputs!$D$51</f>
        <v/>
      </c>
      <c r="S37" s="22">
        <f>S36*Inputs!$D$51</f>
        <v/>
      </c>
      <c r="T37" s="22">
        <f>T36*Inputs!$D$51</f>
        <v/>
      </c>
      <c r="U37" s="22">
        <f>U36*Inputs!$D$51</f>
        <v/>
      </c>
      <c r="V37" s="22">
        <f>V36*Inputs!$D$51</f>
        <v/>
      </c>
      <c r="W37" s="22">
        <f>W36*Inputs!$D$51</f>
        <v/>
      </c>
      <c r="X37" s="22">
        <f>X36*Inputs!$D$51</f>
        <v/>
      </c>
      <c r="Y37" s="22">
        <f>Y36*Inputs!$D$51</f>
        <v/>
      </c>
      <c r="Z37" s="22">
        <f>Z36*Inputs!$D$51</f>
        <v/>
      </c>
      <c r="AA37" s="22">
        <f>AA36*Inputs!$D$51</f>
        <v/>
      </c>
    </row>
    <row r="38">
      <c r="A38" t="inlineStr">
        <is>
          <t>(b) Value: annual carrying saving on released cash</t>
        </is>
      </c>
      <c r="B38" s="22">
        <f>B37*Inputs!$D$26</f>
        <v/>
      </c>
      <c r="C38" s="22">
        <f>C37*Inputs!$D$26</f>
        <v/>
      </c>
      <c r="D38" s="22">
        <f>D37*Inputs!$D$26</f>
        <v/>
      </c>
      <c r="E38" s="22">
        <f>E37*Inputs!$D$26</f>
        <v/>
      </c>
      <c r="F38" s="22">
        <f>F37*Inputs!$D$26</f>
        <v/>
      </c>
      <c r="G38" s="22">
        <f>G37*Inputs!$D$26</f>
        <v/>
      </c>
      <c r="H38" s="22">
        <f>H37*Inputs!$D$26</f>
        <v/>
      </c>
      <c r="I38" s="22">
        <f>I37*Inputs!$D$26</f>
        <v/>
      </c>
      <c r="J38" s="22">
        <f>J37*Inputs!$D$26</f>
        <v/>
      </c>
      <c r="K38" s="22">
        <f>K37*Inputs!$D$26</f>
        <v/>
      </c>
      <c r="L38" s="22">
        <f>L37*Inputs!$D$26</f>
        <v/>
      </c>
      <c r="M38" s="22">
        <f>M37*Inputs!$D$26</f>
        <v/>
      </c>
      <c r="N38" s="22">
        <f>N37*Inputs!$D$26</f>
        <v/>
      </c>
      <c r="O38" s="22">
        <f>O37*Inputs!$D$26</f>
        <v/>
      </c>
      <c r="P38" s="22">
        <f>P37*Inputs!$D$26</f>
        <v/>
      </c>
      <c r="Q38" s="22">
        <f>Q37*Inputs!$D$26</f>
        <v/>
      </c>
      <c r="R38" s="22">
        <f>R37*Inputs!$D$26</f>
        <v/>
      </c>
      <c r="S38" s="22">
        <f>S37*Inputs!$D$26</f>
        <v/>
      </c>
      <c r="T38" s="22">
        <f>T37*Inputs!$D$26</f>
        <v/>
      </c>
      <c r="U38" s="22">
        <f>U37*Inputs!$D$26</f>
        <v/>
      </c>
      <c r="V38" s="22">
        <f>V37*Inputs!$C$26</f>
        <v/>
      </c>
      <c r="W38" s="22">
        <f>W37*Inputs!$E$26</f>
        <v/>
      </c>
      <c r="X38" s="22">
        <f>X37*Inputs!$D$26</f>
        <v/>
      </c>
      <c r="Y38" s="22">
        <f>Y37*Inputs!$D$26</f>
        <v/>
      </c>
      <c r="Z38" s="22">
        <f>Z37*Inputs!$D$26</f>
        <v/>
      </c>
      <c r="AA38" s="22">
        <f>AA37*Inputs!$D$26</f>
        <v/>
      </c>
    </row>
    <row r="39">
      <c r="A39" s="4" t="inlineStr">
        <is>
          <t>(c) Markdown and ageing write-down avoided</t>
        </is>
      </c>
    </row>
    <row r="40">
      <c r="A40" t="inlineStr">
        <is>
          <t>Markdown and write-down cost a year</t>
        </is>
      </c>
      <c r="B40" s="21">
        <f>B25*Inputs!$D$28</f>
        <v/>
      </c>
      <c r="C40" s="21">
        <f>C25*Inputs!$D$28</f>
        <v/>
      </c>
      <c r="D40" s="21">
        <f>D25*Inputs!$D$28</f>
        <v/>
      </c>
      <c r="E40" s="21">
        <f>E25*Inputs!$D$28</f>
        <v/>
      </c>
      <c r="F40" s="21">
        <f>F25*Inputs!$C$28</f>
        <v/>
      </c>
      <c r="G40" s="21">
        <f>G25*Inputs!$E$28</f>
        <v/>
      </c>
      <c r="H40" s="21">
        <f>H25*Inputs!$D$28</f>
        <v/>
      </c>
      <c r="I40" s="21">
        <f>I25*Inputs!$D$28</f>
        <v/>
      </c>
      <c r="J40" s="21">
        <f>J25*Inputs!$D$28</f>
        <v/>
      </c>
      <c r="K40" s="21">
        <f>K25*Inputs!$D$28</f>
        <v/>
      </c>
      <c r="L40" s="21">
        <f>L25*Inputs!$D$28</f>
        <v/>
      </c>
      <c r="M40" s="21">
        <f>M25*Inputs!$D$28</f>
        <v/>
      </c>
      <c r="N40" s="21">
        <f>N25*Inputs!$D$28</f>
        <v/>
      </c>
      <c r="O40" s="21">
        <f>O25*Inputs!$D$28</f>
        <v/>
      </c>
      <c r="P40" s="21">
        <f>P25*Inputs!$D$28</f>
        <v/>
      </c>
      <c r="Q40" s="21">
        <f>Q25*Inputs!$D$28</f>
        <v/>
      </c>
      <c r="R40" s="21">
        <f>R25*Inputs!$D$28</f>
        <v/>
      </c>
      <c r="S40" s="21">
        <f>S25*Inputs!$D$28</f>
        <v/>
      </c>
      <c r="T40" s="21">
        <f>T25*Inputs!$D$28</f>
        <v/>
      </c>
      <c r="U40" s="21">
        <f>U25*Inputs!$D$28</f>
        <v/>
      </c>
      <c r="V40" s="21">
        <f>V25*Inputs!$D$28</f>
        <v/>
      </c>
      <c r="W40" s="21">
        <f>W25*Inputs!$D$28</f>
        <v/>
      </c>
      <c r="X40" s="21">
        <f>X25*Inputs!$D$28</f>
        <v/>
      </c>
      <c r="Y40" s="21">
        <f>Y25*Inputs!$D$28</f>
        <v/>
      </c>
      <c r="Z40" s="21">
        <f>Z25*Inputs!$D$28</f>
        <v/>
      </c>
      <c r="AA40" s="21">
        <f>AA25*Inputs!$D$28</f>
        <v/>
      </c>
    </row>
    <row r="41">
      <c r="A41" t="inlineStr">
        <is>
          <t>Cross-check: stock over 180 days x clearance discount, ex VAT</t>
        </is>
      </c>
      <c r="B41" s="21">
        <f>Inputs!$D$15/B24*Inputs!$D$29</f>
        <v/>
      </c>
      <c r="C41" s="21">
        <f>Inputs!$D$15/C24*Inputs!$D$29</f>
        <v/>
      </c>
      <c r="D41" s="21">
        <f>Inputs!$D$15/D24*Inputs!$D$29</f>
        <v/>
      </c>
      <c r="E41" s="21">
        <f>Inputs!$D$15/E24*Inputs!$D$29</f>
        <v/>
      </c>
      <c r="F41" s="21">
        <f>Inputs!$D$15/F24*Inputs!$D$29</f>
        <v/>
      </c>
      <c r="G41" s="21">
        <f>Inputs!$D$15/G24*Inputs!$D$29</f>
        <v/>
      </c>
      <c r="H41" s="21">
        <f>Inputs!$D$15/H24*Inputs!$D$29</f>
        <v/>
      </c>
      <c r="I41" s="21">
        <f>Inputs!$D$15/I24*Inputs!$D$29</f>
        <v/>
      </c>
      <c r="J41" s="21">
        <f>Inputs!$D$15/J24*Inputs!$D$29</f>
        <v/>
      </c>
      <c r="K41" s="21">
        <f>Inputs!$D$15/K24*Inputs!$D$29</f>
        <v/>
      </c>
      <c r="L41" s="21">
        <f>Inputs!$D$15/L24*Inputs!$D$29</f>
        <v/>
      </c>
      <c r="M41" s="21">
        <f>Inputs!$D$15/M24*Inputs!$D$29</f>
        <v/>
      </c>
      <c r="N41" s="21">
        <f>Inputs!$D$15/N24*Inputs!$D$29</f>
        <v/>
      </c>
      <c r="O41" s="21">
        <f>Inputs!$D$15/O24*Inputs!$D$29</f>
        <v/>
      </c>
      <c r="P41" s="21">
        <f>Inputs!$D$15/P24*Inputs!$D$29</f>
        <v/>
      </c>
      <c r="Q41" s="21">
        <f>Inputs!$D$15/Q24*Inputs!$D$29</f>
        <v/>
      </c>
      <c r="R41" s="21">
        <f>Inputs!$D$15/R24*Inputs!$D$29</f>
        <v/>
      </c>
      <c r="S41" s="21">
        <f>Inputs!$D$15/S24*Inputs!$D$29</f>
        <v/>
      </c>
      <c r="T41" s="21">
        <f>Inputs!$D$15/T24*Inputs!$D$29</f>
        <v/>
      </c>
      <c r="U41" s="21">
        <f>Inputs!$D$15/U24*Inputs!$D$29</f>
        <v/>
      </c>
      <c r="V41" s="21">
        <f>Inputs!$D$15/V24*Inputs!$D$29</f>
        <v/>
      </c>
      <c r="W41" s="21">
        <f>Inputs!$D$15/W24*Inputs!$D$29</f>
        <v/>
      </c>
      <c r="X41" s="21">
        <f>Inputs!$D$15/X24*Inputs!$D$29</f>
        <v/>
      </c>
      <c r="Y41" s="21">
        <f>Inputs!$D$15/Y24*Inputs!$D$29</f>
        <v/>
      </c>
      <c r="Z41" s="21">
        <f>Inputs!$D$15/Z24*Inputs!$D$29</f>
        <v/>
      </c>
      <c r="AA41" s="21">
        <f>Inputs!$D$15/AA24*Inputs!$D$29</f>
        <v/>
      </c>
    </row>
    <row r="42">
      <c r="A42" t="inlineStr">
        <is>
          <t>(c) Value: markdown and write-down avoided</t>
        </is>
      </c>
      <c r="B42" s="22">
        <f>B40*Inputs!$C$52</f>
        <v/>
      </c>
      <c r="C42" s="22">
        <f>C40*Inputs!$E$52</f>
        <v/>
      </c>
      <c r="D42" s="22">
        <f>D40*Inputs!$D$52</f>
        <v/>
      </c>
      <c r="E42" s="22">
        <f>E40*Inputs!$D$52</f>
        <v/>
      </c>
      <c r="F42" s="22">
        <f>F40*Inputs!$D$52</f>
        <v/>
      </c>
      <c r="G42" s="22">
        <f>G40*Inputs!$D$52</f>
        <v/>
      </c>
      <c r="H42" s="22">
        <f>H40*Inputs!$D$52</f>
        <v/>
      </c>
      <c r="I42" s="22">
        <f>I40*Inputs!$D$52</f>
        <v/>
      </c>
      <c r="J42" s="22">
        <f>J40*Inputs!$D$52</f>
        <v/>
      </c>
      <c r="K42" s="22">
        <f>K40*Inputs!$D$52</f>
        <v/>
      </c>
      <c r="L42" s="22">
        <f>L40*Inputs!$D$52</f>
        <v/>
      </c>
      <c r="M42" s="22">
        <f>M40*Inputs!$D$52</f>
        <v/>
      </c>
      <c r="N42" s="22">
        <f>N40*Inputs!$D$52</f>
        <v/>
      </c>
      <c r="O42" s="22">
        <f>O40*Inputs!$D$52</f>
        <v/>
      </c>
      <c r="P42" s="22">
        <f>P40*Inputs!$D$52</f>
        <v/>
      </c>
      <c r="Q42" s="22">
        <f>Q40*Inputs!$D$52</f>
        <v/>
      </c>
      <c r="R42" s="22">
        <f>R40*Inputs!$D$52</f>
        <v/>
      </c>
      <c r="S42" s="22">
        <f>S40*Inputs!$D$52</f>
        <v/>
      </c>
      <c r="T42" s="22">
        <f>T40*Inputs!$D$52</f>
        <v/>
      </c>
      <c r="U42" s="22">
        <f>U40*Inputs!$D$52</f>
        <v/>
      </c>
      <c r="V42" s="22">
        <f>V40*Inputs!$D$52</f>
        <v/>
      </c>
      <c r="W42" s="22">
        <f>W40*Inputs!$D$52</f>
        <v/>
      </c>
      <c r="X42" s="22">
        <f>X40*Inputs!$D$52</f>
        <v/>
      </c>
      <c r="Y42" s="22">
        <f>Y40*Inputs!$D$52</f>
        <v/>
      </c>
      <c r="Z42" s="22">
        <f>Z40*Inputs!$D$52</f>
        <v/>
      </c>
      <c r="AA42" s="22">
        <f>AA40*Inputs!$D$52</f>
        <v/>
      </c>
    </row>
    <row r="43">
      <c r="A43" s="4" t="inlineStr">
        <is>
          <t>(d) Size-curve improvement: fewer size or fit returns</t>
        </is>
      </c>
    </row>
    <row r="44">
      <c r="A44" t="inlineStr">
        <is>
          <t>Size or fit returns a year, ex VAT</t>
        </is>
      </c>
      <c r="B44" s="21">
        <f>Inputs!$D$18/B24</f>
        <v/>
      </c>
      <c r="C44" s="21">
        <f>Inputs!$D$18/C24</f>
        <v/>
      </c>
      <c r="D44" s="21">
        <f>Inputs!$D$18/D24</f>
        <v/>
      </c>
      <c r="E44" s="21">
        <f>Inputs!$D$18/E24</f>
        <v/>
      </c>
      <c r="F44" s="21">
        <f>Inputs!$D$18/F24</f>
        <v/>
      </c>
      <c r="G44" s="21">
        <f>Inputs!$D$18/G24</f>
        <v/>
      </c>
      <c r="H44" s="21">
        <f>Inputs!$D$18/H24</f>
        <v/>
      </c>
      <c r="I44" s="21">
        <f>Inputs!$D$18/I24</f>
        <v/>
      </c>
      <c r="J44" s="21">
        <f>Inputs!$D$18/J24</f>
        <v/>
      </c>
      <c r="K44" s="21">
        <f>Inputs!$D$18/K24</f>
        <v/>
      </c>
      <c r="L44" s="21">
        <f>Inputs!$D$18/L24</f>
        <v/>
      </c>
      <c r="M44" s="21">
        <f>Inputs!$D$18/M24</f>
        <v/>
      </c>
      <c r="N44" s="21">
        <f>Inputs!$D$18/N24</f>
        <v/>
      </c>
      <c r="O44" s="21">
        <f>Inputs!$D$18/O24</f>
        <v/>
      </c>
      <c r="P44" s="21">
        <f>Inputs!$D$18/P24</f>
        <v/>
      </c>
      <c r="Q44" s="21">
        <f>Inputs!$D$18/Q24</f>
        <v/>
      </c>
      <c r="R44" s="21">
        <f>Inputs!$D$18/R24</f>
        <v/>
      </c>
      <c r="S44" s="21">
        <f>Inputs!$D$18/S24</f>
        <v/>
      </c>
      <c r="T44" s="21">
        <f>Inputs!$D$18/T24</f>
        <v/>
      </c>
      <c r="U44" s="21">
        <f>Inputs!$D$18/U24</f>
        <v/>
      </c>
      <c r="V44" s="21">
        <f>Inputs!$D$18/V24</f>
        <v/>
      </c>
      <c r="W44" s="21">
        <f>Inputs!$D$18/W24</f>
        <v/>
      </c>
      <c r="X44" s="21">
        <f>Inputs!$D$18/X24</f>
        <v/>
      </c>
      <c r="Y44" s="21">
        <f>Inputs!$D$18/Y24</f>
        <v/>
      </c>
      <c r="Z44" s="21">
        <f>Inputs!$D$18/Z24</f>
        <v/>
      </c>
      <c r="AA44" s="21">
        <f>Inputs!$D$18/AA24</f>
        <v/>
      </c>
    </row>
    <row r="45">
      <c r="A45" t="inlineStr">
        <is>
          <t>(d) Value: handling cost avoided plus margin on kept sales</t>
        </is>
      </c>
      <c r="B45" s="22">
        <f>B44*Inputs!$D$54*(Inputs!$D$30+Inputs!$D$31*B26)</f>
        <v/>
      </c>
      <c r="C45" s="22">
        <f>C44*Inputs!$D$54*(Inputs!$D$30+Inputs!$D$31*C26)</f>
        <v/>
      </c>
      <c r="D45" s="22">
        <f>D44*Inputs!$D$54*(Inputs!$D$30+Inputs!$D$31*D26)</f>
        <v/>
      </c>
      <c r="E45" s="22">
        <f>E44*Inputs!$D$54*(Inputs!$D$30+Inputs!$D$31*E26)</f>
        <v/>
      </c>
      <c r="F45" s="22">
        <f>F44*Inputs!$D$54*(Inputs!$D$30+Inputs!$D$31*F26)</f>
        <v/>
      </c>
      <c r="G45" s="22">
        <f>G44*Inputs!$D$54*(Inputs!$D$30+Inputs!$D$31*G26)</f>
        <v/>
      </c>
      <c r="H45" s="22">
        <f>H44*Inputs!$D$54*(Inputs!$D$30+Inputs!$D$31*H26)</f>
        <v/>
      </c>
      <c r="I45" s="22">
        <f>I44*Inputs!$D$54*(Inputs!$D$30+Inputs!$D$31*I26)</f>
        <v/>
      </c>
      <c r="J45" s="22">
        <f>J44*Inputs!$D$54*(Inputs!$D$30+Inputs!$D$31*J26)</f>
        <v/>
      </c>
      <c r="K45" s="22">
        <f>K44*Inputs!$D$54*(Inputs!$D$30+Inputs!$D$31*K26)</f>
        <v/>
      </c>
      <c r="L45" s="22">
        <f>L44*Inputs!$D$54*(Inputs!$D$30+Inputs!$D$31*L26)</f>
        <v/>
      </c>
      <c r="M45" s="22">
        <f>M44*Inputs!$D$54*(Inputs!$D$30+Inputs!$D$31*M26)</f>
        <v/>
      </c>
      <c r="N45" s="22">
        <f>N44*Inputs!$D$54*(Inputs!$D$30+Inputs!$D$31*N26)</f>
        <v/>
      </c>
      <c r="O45" s="22">
        <f>O44*Inputs!$D$54*(Inputs!$D$30+Inputs!$D$31*O26)</f>
        <v/>
      </c>
      <c r="P45" s="22">
        <f>P44*Inputs!$D$54*(Inputs!$D$30+Inputs!$D$31*P26)</f>
        <v/>
      </c>
      <c r="Q45" s="22">
        <f>Q44*Inputs!$D$54*(Inputs!$D$30+Inputs!$D$31*Q26)</f>
        <v/>
      </c>
      <c r="R45" s="22">
        <f>R44*Inputs!$D$54*(Inputs!$D$30+Inputs!$D$31*R26)</f>
        <v/>
      </c>
      <c r="S45" s="22">
        <f>S44*Inputs!$D$54*(Inputs!$D$30+Inputs!$D$31*S26)</f>
        <v/>
      </c>
      <c r="T45" s="22">
        <f>T44*Inputs!$D$54*(Inputs!$D$30+Inputs!$D$31*T26)</f>
        <v/>
      </c>
      <c r="U45" s="22">
        <f>U44*Inputs!$D$54*(Inputs!$D$30+Inputs!$D$31*U26)</f>
        <v/>
      </c>
      <c r="V45" s="22">
        <f>V44*Inputs!$D$54*(Inputs!$D$30+Inputs!$D$31*V26)</f>
        <v/>
      </c>
      <c r="W45" s="22">
        <f>W44*Inputs!$D$54*(Inputs!$D$30+Inputs!$D$31*W26)</f>
        <v/>
      </c>
      <c r="X45" s="22">
        <f>X44*Inputs!$C$54*(Inputs!$D$30+Inputs!$D$31*X26)</f>
        <v/>
      </c>
      <c r="Y45" s="22">
        <f>Y44*Inputs!$E$54*(Inputs!$D$30+Inputs!$D$31*Y26)</f>
        <v/>
      </c>
      <c r="Z45" s="22">
        <f>Z44*Inputs!$D$54*(Inputs!$D$30+Inputs!$D$31*Z26)</f>
        <v/>
      </c>
      <c r="AA45" s="22">
        <f>AA44*Inputs!$D$54*(Inputs!$D$30+Inputs!$D$31*AA26)</f>
        <v/>
      </c>
    </row>
    <row r="46">
      <c r="A46" s="4" t="inlineStr">
        <is>
          <t>(e) Planner time saved</t>
        </is>
      </c>
    </row>
    <row r="47">
      <c r="A47" t="inlineStr">
        <is>
          <t>(e) Value: planner capacity freed</t>
        </is>
      </c>
      <c r="B47" s="22">
        <f>Inputs!$D$33*Inputs!$D$34*Inputs!$D$35*Inputs!$D$55</f>
        <v/>
      </c>
      <c r="C47" s="22">
        <f>Inputs!$D$33*Inputs!$D$34*Inputs!$D$35*Inputs!$D$55</f>
        <v/>
      </c>
      <c r="D47" s="22">
        <f>Inputs!$D$33*Inputs!$D$34*Inputs!$D$35*Inputs!$D$55</f>
        <v/>
      </c>
      <c r="E47" s="22">
        <f>Inputs!$D$33*Inputs!$D$34*Inputs!$D$35*Inputs!$D$55</f>
        <v/>
      </c>
      <c r="F47" s="22">
        <f>Inputs!$D$33*Inputs!$D$34*Inputs!$D$35*Inputs!$D$55</f>
        <v/>
      </c>
      <c r="G47" s="22">
        <f>Inputs!$D$33*Inputs!$D$34*Inputs!$D$35*Inputs!$D$55</f>
        <v/>
      </c>
      <c r="H47" s="22">
        <f>Inputs!$D$33*Inputs!$D$34*Inputs!$D$35*Inputs!$D$55</f>
        <v/>
      </c>
      <c r="I47" s="22">
        <f>Inputs!$D$33*Inputs!$D$34*Inputs!$D$35*Inputs!$D$55</f>
        <v/>
      </c>
      <c r="J47" s="22">
        <f>Inputs!$D$33*Inputs!$D$34*Inputs!$D$35*Inputs!$D$55</f>
        <v/>
      </c>
      <c r="K47" s="22">
        <f>Inputs!$D$33*Inputs!$D$34*Inputs!$D$35*Inputs!$D$55</f>
        <v/>
      </c>
      <c r="L47" s="22">
        <f>Inputs!$D$33*Inputs!$D$34*Inputs!$D$35*Inputs!$D$55</f>
        <v/>
      </c>
      <c r="M47" s="22">
        <f>Inputs!$D$33*Inputs!$D$34*Inputs!$D$35*Inputs!$D$55</f>
        <v/>
      </c>
      <c r="N47" s="22">
        <f>Inputs!$D$33*Inputs!$D$34*Inputs!$D$35*Inputs!$D$55</f>
        <v/>
      </c>
      <c r="O47" s="22">
        <f>Inputs!$D$33*Inputs!$D$34*Inputs!$D$35*Inputs!$D$55</f>
        <v/>
      </c>
      <c r="P47" s="22">
        <f>Inputs!$D$33*Inputs!$D$34*Inputs!$D$35*Inputs!$D$55</f>
        <v/>
      </c>
      <c r="Q47" s="22">
        <f>Inputs!$D$33*Inputs!$D$34*Inputs!$D$35*Inputs!$D$55</f>
        <v/>
      </c>
      <c r="R47" s="22">
        <f>Inputs!$D$33*Inputs!$D$34*Inputs!$D$35*Inputs!$D$55</f>
        <v/>
      </c>
      <c r="S47" s="22">
        <f>Inputs!$D$33*Inputs!$D$34*Inputs!$D$35*Inputs!$D$55</f>
        <v/>
      </c>
      <c r="T47" s="22">
        <f>Inputs!$D$33*Inputs!$D$34*Inputs!$D$35*Inputs!$C$55</f>
        <v/>
      </c>
      <c r="U47" s="22">
        <f>Inputs!$D$33*Inputs!$D$34*Inputs!$D$35*Inputs!$E$55</f>
        <v/>
      </c>
      <c r="V47" s="22">
        <f>Inputs!$D$33*Inputs!$D$34*Inputs!$D$35*Inputs!$D$55</f>
        <v/>
      </c>
      <c r="W47" s="22">
        <f>Inputs!$D$33*Inputs!$D$34*Inputs!$D$35*Inputs!$D$55</f>
        <v/>
      </c>
      <c r="X47" s="22">
        <f>Inputs!$D$33*Inputs!$D$34*Inputs!$D$35*Inputs!$D$55</f>
        <v/>
      </c>
      <c r="Y47" s="22">
        <f>Inputs!$D$33*Inputs!$D$34*Inputs!$D$35*Inputs!$D$55</f>
        <v/>
      </c>
      <c r="Z47" s="22">
        <f>Inputs!$D$33*Inputs!$D$34*Inputs!$D$35*Inputs!$D$55</f>
        <v/>
      </c>
      <c r="AA47" s="22">
        <f>Inputs!$D$33*Inputs!$D$34*Inputs!$D$35*Inputs!$D$55</f>
        <v/>
      </c>
    </row>
    <row r="48">
      <c r="A48" s="4" t="inlineStr">
        <is>
          <t>Total annual benefit (steady state, current revenue base)</t>
        </is>
      </c>
    </row>
    <row r="49">
      <c r="A49" t="inlineStr">
        <is>
          <t>Sum of levers a to e</t>
        </is>
      </c>
      <c r="B49" s="21">
        <f>B34+B38+B42+B45+B47</f>
        <v/>
      </c>
      <c r="C49" s="21">
        <f>C34+C38+C42+C45+C47</f>
        <v/>
      </c>
      <c r="D49" s="21">
        <f>D34+D38+D42+D45+D47</f>
        <v/>
      </c>
      <c r="E49" s="21">
        <f>E34+E38+E42+E45+E47</f>
        <v/>
      </c>
      <c r="F49" s="21">
        <f>F34+F38+F42+F45+F47</f>
        <v/>
      </c>
      <c r="G49" s="21">
        <f>G34+G38+G42+G45+G47</f>
        <v/>
      </c>
      <c r="H49" s="21">
        <f>H34+H38+H42+H45+H47</f>
        <v/>
      </c>
      <c r="I49" s="21">
        <f>I34+I38+I42+I45+I47</f>
        <v/>
      </c>
      <c r="J49" s="21">
        <f>J34+J38+J42+J45+J47</f>
        <v/>
      </c>
      <c r="K49" s="21">
        <f>K34+K38+K42+K45+K47</f>
        <v/>
      </c>
      <c r="L49" s="21">
        <f>L34+L38+L42+L45+L47</f>
        <v/>
      </c>
      <c r="M49" s="21">
        <f>M34+M38+M42+M45+M47</f>
        <v/>
      </c>
      <c r="N49" s="21">
        <f>N34+N38+N42+N45+N47</f>
        <v/>
      </c>
      <c r="O49" s="21">
        <f>O34+O38+O42+O45+O47</f>
        <v/>
      </c>
      <c r="P49" s="21">
        <f>P34+P38+P42+P45+P47</f>
        <v/>
      </c>
      <c r="Q49" s="21">
        <f>Q34+Q38+Q42+Q45+Q47</f>
        <v/>
      </c>
      <c r="R49" s="21">
        <f>R34+R38+R42+R45+R47</f>
        <v/>
      </c>
      <c r="S49" s="21">
        <f>S34+S38+S42+S45+S47</f>
        <v/>
      </c>
      <c r="T49" s="21">
        <f>T34+T38+T42+T45+T47</f>
        <v/>
      </c>
      <c r="U49" s="21">
        <f>U34+U38+U42+U45+U47</f>
        <v/>
      </c>
      <c r="V49" s="21">
        <f>V34+V38+V42+V45+V47</f>
        <v/>
      </c>
      <c r="W49" s="21">
        <f>W34+W38+W42+W45+W47</f>
        <v/>
      </c>
      <c r="X49" s="21">
        <f>X34+X38+X42+X45+X47</f>
        <v/>
      </c>
      <c r="Y49" s="21">
        <f>Y34+Y38+Y42+Y45+Y47</f>
        <v/>
      </c>
      <c r="Z49" s="21">
        <f>Z34+Z38+Z42+Z45+Z47</f>
        <v/>
      </c>
      <c r="AA49" s="21">
        <f>AA34+AA38+AA42+AA45+AA47</f>
        <v/>
      </c>
    </row>
    <row r="50">
      <c r="A50" t="inlineStr">
        <is>
          <t>Less overlap haircut on a+b+c</t>
        </is>
      </c>
      <c r="B50" s="21">
        <f>-(B34+B38+B42)*Inputs!$D$43</f>
        <v/>
      </c>
      <c r="C50" s="21">
        <f>-(C34+C38+C42)*Inputs!$D$43</f>
        <v/>
      </c>
      <c r="D50" s="21">
        <f>-(D34+D38+D42)*Inputs!$D$43</f>
        <v/>
      </c>
      <c r="E50" s="21">
        <f>-(E34+E38+E42)*Inputs!$D$43</f>
        <v/>
      </c>
      <c r="F50" s="21">
        <f>-(F34+F38+F42)*Inputs!$D$43</f>
        <v/>
      </c>
      <c r="G50" s="21">
        <f>-(G34+G38+G42)*Inputs!$D$43</f>
        <v/>
      </c>
      <c r="H50" s="21">
        <f>-(H34+H38+H42)*Inputs!$D$43</f>
        <v/>
      </c>
      <c r="I50" s="21">
        <f>-(I34+I38+I42)*Inputs!$D$43</f>
        <v/>
      </c>
      <c r="J50" s="21">
        <f>-(J34+J38+J42)*Inputs!$D$43</f>
        <v/>
      </c>
      <c r="K50" s="21">
        <f>-(K34+K38+K42)*Inputs!$D$43</f>
        <v/>
      </c>
      <c r="L50" s="21">
        <f>-(L34+L38+L42)*Inputs!$C$43</f>
        <v/>
      </c>
      <c r="M50" s="21">
        <f>-(M34+M38+M42)*Inputs!$E$43</f>
        <v/>
      </c>
      <c r="N50" s="21">
        <f>-(N34+N38+N42)*Inputs!$D$43</f>
        <v/>
      </c>
      <c r="O50" s="21">
        <f>-(O34+O38+O42)*Inputs!$D$43</f>
        <v/>
      </c>
      <c r="P50" s="21">
        <f>-(P34+P38+P42)*Inputs!$D$43</f>
        <v/>
      </c>
      <c r="Q50" s="21">
        <f>-(Q34+Q38+Q42)*Inputs!$D$43</f>
        <v/>
      </c>
      <c r="R50" s="21">
        <f>-(R34+R38+R42)*Inputs!$D$43</f>
        <v/>
      </c>
      <c r="S50" s="21">
        <f>-(S34+S38+S42)*Inputs!$D$43</f>
        <v/>
      </c>
      <c r="T50" s="21">
        <f>-(T34+T38+T42)*Inputs!$D$43</f>
        <v/>
      </c>
      <c r="U50" s="21">
        <f>-(U34+U38+U42)*Inputs!$D$43</f>
        <v/>
      </c>
      <c r="V50" s="21">
        <f>-(V34+V38+V42)*Inputs!$D$43</f>
        <v/>
      </c>
      <c r="W50" s="21">
        <f>-(W34+W38+W42)*Inputs!$D$43</f>
        <v/>
      </c>
      <c r="X50" s="21">
        <f>-(X34+X38+X42)*Inputs!$D$43</f>
        <v/>
      </c>
      <c r="Y50" s="21">
        <f>-(Y34+Y38+Y42)*Inputs!$D$43</f>
        <v/>
      </c>
      <c r="Z50" s="21">
        <f>-(Z34+Z38+Z42)*Inputs!$D$43</f>
        <v/>
      </c>
      <c r="AA50" s="21">
        <f>-(AA34+AA38+AA42)*Inputs!$D$43</f>
        <v/>
      </c>
    </row>
    <row r="51">
      <c r="A51" t="inlineStr">
        <is>
          <t>ANNUAL BENEFIT at full adoption</t>
        </is>
      </c>
      <c r="B51" s="23">
        <f>B49+B50</f>
        <v/>
      </c>
      <c r="C51" s="23">
        <f>C49+C50</f>
        <v/>
      </c>
      <c r="D51" s="23">
        <f>D49+D50</f>
        <v/>
      </c>
      <c r="E51" s="23">
        <f>E49+E50</f>
        <v/>
      </c>
      <c r="F51" s="23">
        <f>F49+F50</f>
        <v/>
      </c>
      <c r="G51" s="23">
        <f>G49+G50</f>
        <v/>
      </c>
      <c r="H51" s="23">
        <f>H49+H50</f>
        <v/>
      </c>
      <c r="I51" s="23">
        <f>I49+I50</f>
        <v/>
      </c>
      <c r="J51" s="23">
        <f>J49+J50</f>
        <v/>
      </c>
      <c r="K51" s="23">
        <f>K49+K50</f>
        <v/>
      </c>
      <c r="L51" s="23">
        <f>L49+L50</f>
        <v/>
      </c>
      <c r="M51" s="23">
        <f>M49+M50</f>
        <v/>
      </c>
      <c r="N51" s="23">
        <f>N49+N50</f>
        <v/>
      </c>
      <c r="O51" s="23">
        <f>O49+O50</f>
        <v/>
      </c>
      <c r="P51" s="23">
        <f>P49+P50</f>
        <v/>
      </c>
      <c r="Q51" s="23">
        <f>Q49+Q50</f>
        <v/>
      </c>
      <c r="R51" s="23">
        <f>R49+R50</f>
        <v/>
      </c>
      <c r="S51" s="23">
        <f>S49+S50</f>
        <v/>
      </c>
      <c r="T51" s="23">
        <f>T49+T50</f>
        <v/>
      </c>
      <c r="U51" s="23">
        <f>U49+U50</f>
        <v/>
      </c>
      <c r="V51" s="23">
        <f>V49+V50</f>
        <v/>
      </c>
      <c r="W51" s="23">
        <f>W49+W50</f>
        <v/>
      </c>
      <c r="X51" s="23">
        <f>X49+X50</f>
        <v/>
      </c>
      <c r="Y51" s="23">
        <f>Y49+Y50</f>
        <v/>
      </c>
      <c r="Z51" s="23">
        <f>Z49+Z50</f>
        <v/>
      </c>
      <c r="AA51" s="23">
        <f>AA49+AA50</f>
        <v/>
      </c>
    </row>
    <row r="52">
      <c r="A52" s="4" t="inlineStr">
        <is>
          <t>(f) NPD upside - shown separately, EXCLUDED from all totals</t>
        </is>
      </c>
    </row>
    <row r="53">
      <c r="A53" t="inlineStr">
        <is>
          <t>(f) NPD hit-rate upside a year</t>
        </is>
      </c>
      <c r="B53" s="22">
        <f>Inputs!$D$10/B24*Inputs!$D$36*Inputs!$D$56*Inputs!$D$37*B26</f>
        <v/>
      </c>
      <c r="C53" s="22">
        <f>Inputs!$D$10/C24*Inputs!$D$36*Inputs!$D$56*Inputs!$D$37*C26</f>
        <v/>
      </c>
      <c r="D53" s="22">
        <f>Inputs!$D$10/D24*Inputs!$D$36*Inputs!$D$56*Inputs!$D$37*D26</f>
        <v/>
      </c>
      <c r="E53" s="22">
        <f>Inputs!$D$10/E24*Inputs!$D$36*Inputs!$D$56*Inputs!$D$37*E26</f>
        <v/>
      </c>
      <c r="F53" s="22">
        <f>Inputs!$D$10/F24*Inputs!$D$36*Inputs!$D$56*Inputs!$D$37*F26</f>
        <v/>
      </c>
      <c r="G53" s="22">
        <f>Inputs!$D$10/G24*Inputs!$D$36*Inputs!$D$56*Inputs!$D$37*G26</f>
        <v/>
      </c>
      <c r="H53" s="22">
        <f>Inputs!$D$10/H24*Inputs!$D$36*Inputs!$D$56*Inputs!$D$37*H26</f>
        <v/>
      </c>
      <c r="I53" s="22">
        <f>Inputs!$D$10/I24*Inputs!$D$36*Inputs!$D$56*Inputs!$D$37*I26</f>
        <v/>
      </c>
      <c r="J53" s="22">
        <f>Inputs!$D$10/J24*Inputs!$D$36*Inputs!$D$56*Inputs!$D$37*J26</f>
        <v/>
      </c>
      <c r="K53" s="22">
        <f>Inputs!$D$10/K24*Inputs!$D$36*Inputs!$D$56*Inputs!$D$37*K26</f>
        <v/>
      </c>
      <c r="L53" s="22">
        <f>Inputs!$D$10/L24*Inputs!$D$36*Inputs!$D$56*Inputs!$D$37*L26</f>
        <v/>
      </c>
      <c r="M53" s="22">
        <f>Inputs!$D$10/M24*Inputs!$D$36*Inputs!$D$56*Inputs!$D$37*M26</f>
        <v/>
      </c>
      <c r="N53" s="22">
        <f>Inputs!$D$10/N24*Inputs!$D$36*Inputs!$D$56*Inputs!$D$37*N26</f>
        <v/>
      </c>
      <c r="O53" s="22">
        <f>Inputs!$D$10/O24*Inputs!$D$36*Inputs!$D$56*Inputs!$D$37*O26</f>
        <v/>
      </c>
      <c r="P53" s="22">
        <f>Inputs!$D$10/P24*Inputs!$D$36*Inputs!$D$56*Inputs!$D$37*P26</f>
        <v/>
      </c>
      <c r="Q53" s="22">
        <f>Inputs!$D$10/Q24*Inputs!$D$36*Inputs!$D$56*Inputs!$D$37*Q26</f>
        <v/>
      </c>
      <c r="R53" s="22">
        <f>Inputs!$D$10/R24*Inputs!$D$36*Inputs!$D$56*Inputs!$D$37*R26</f>
        <v/>
      </c>
      <c r="S53" s="22">
        <f>Inputs!$D$10/S24*Inputs!$D$36*Inputs!$D$56*Inputs!$D$37*S26</f>
        <v/>
      </c>
      <c r="T53" s="22">
        <f>Inputs!$D$10/T24*Inputs!$D$36*Inputs!$D$56*Inputs!$D$37*T26</f>
        <v/>
      </c>
      <c r="U53" s="22">
        <f>Inputs!$D$10/U24*Inputs!$D$36*Inputs!$D$56*Inputs!$D$37*U26</f>
        <v/>
      </c>
      <c r="V53" s="22">
        <f>Inputs!$D$10/V24*Inputs!$D$36*Inputs!$D$56*Inputs!$D$37*V26</f>
        <v/>
      </c>
      <c r="W53" s="22">
        <f>Inputs!$D$10/W24*Inputs!$D$36*Inputs!$D$56*Inputs!$D$37*W26</f>
        <v/>
      </c>
      <c r="X53" s="22">
        <f>Inputs!$D$10/X24*Inputs!$D$36*Inputs!$D$56*Inputs!$D$37*X26</f>
        <v/>
      </c>
      <c r="Y53" s="22">
        <f>Inputs!$D$10/Y24*Inputs!$D$36*Inputs!$D$56*Inputs!$D$37*Y26</f>
        <v/>
      </c>
      <c r="Z53" s="22">
        <f>Inputs!$D$10/Z24*Inputs!$D$36*Inputs!$D$56*Inputs!$D$37*Z26</f>
        <v/>
      </c>
      <c r="AA53" s="22">
        <f>Inputs!$D$10/AA24*Inputs!$D$36*Inputs!$D$56*Inputs!$D$37*AA26</f>
        <v/>
      </c>
    </row>
    <row r="54">
      <c r="A54" s="4" t="inlineStr">
        <is>
          <t>Cross-check against the sell-through benchmark</t>
        </is>
      </c>
    </row>
    <row r="55">
      <c r="A55" t="inlineStr">
        <is>
          <t>Units sold in 90 days implied by today's sell-through</t>
        </is>
      </c>
      <c r="B55" s="21">
        <f>Inputs!$D$13*Inputs!$D$14/(1-Inputs!$D$14)</f>
        <v/>
      </c>
      <c r="C55" s="21">
        <f>Inputs!$D$13*Inputs!$D$14/(1-Inputs!$D$14)</f>
        <v/>
      </c>
      <c r="D55" s="21">
        <f>Inputs!$D$13*Inputs!$D$14/(1-Inputs!$D$14)</f>
        <v/>
      </c>
      <c r="E55" s="21">
        <f>Inputs!$D$13*Inputs!$D$14/(1-Inputs!$D$14)</f>
        <v/>
      </c>
      <c r="F55" s="21">
        <f>Inputs!$D$13*Inputs!$D$14/(1-Inputs!$D$14)</f>
        <v/>
      </c>
      <c r="G55" s="21">
        <f>Inputs!$D$13*Inputs!$D$14/(1-Inputs!$D$14)</f>
        <v/>
      </c>
      <c r="H55" s="21">
        <f>Inputs!$D$13*Inputs!$D$14/(1-Inputs!$D$14)</f>
        <v/>
      </c>
      <c r="I55" s="21">
        <f>Inputs!$D$13*Inputs!$D$14/(1-Inputs!$D$14)</f>
        <v/>
      </c>
      <c r="J55" s="21">
        <f>Inputs!$D$13*Inputs!$D$14/(1-Inputs!$D$14)</f>
        <v/>
      </c>
      <c r="K55" s="21">
        <f>Inputs!$D$13*Inputs!$D$14/(1-Inputs!$D$14)</f>
        <v/>
      </c>
      <c r="L55" s="21">
        <f>Inputs!$D$13*Inputs!$D$14/(1-Inputs!$D$14)</f>
        <v/>
      </c>
      <c r="M55" s="21">
        <f>Inputs!$D$13*Inputs!$D$14/(1-Inputs!$D$14)</f>
        <v/>
      </c>
      <c r="N55" s="21">
        <f>Inputs!$D$13*Inputs!$D$14/(1-Inputs!$D$14)</f>
        <v/>
      </c>
      <c r="O55" s="21">
        <f>Inputs!$D$13*Inputs!$D$14/(1-Inputs!$D$14)</f>
        <v/>
      </c>
      <c r="P55" s="21">
        <f>Inputs!$D$13*Inputs!$D$14/(1-Inputs!$D$14)</f>
        <v/>
      </c>
      <c r="Q55" s="21">
        <f>Inputs!$D$13*Inputs!$D$14/(1-Inputs!$D$14)</f>
        <v/>
      </c>
      <c r="R55" s="21">
        <f>Inputs!$D$13*Inputs!$D$14/(1-Inputs!$D$14)</f>
        <v/>
      </c>
      <c r="S55" s="21">
        <f>Inputs!$D$13*Inputs!$D$14/(1-Inputs!$D$14)</f>
        <v/>
      </c>
      <c r="T55" s="21">
        <f>Inputs!$D$13*Inputs!$D$14/(1-Inputs!$D$14)</f>
        <v/>
      </c>
      <c r="U55" s="21">
        <f>Inputs!$D$13*Inputs!$D$14/(1-Inputs!$D$14)</f>
        <v/>
      </c>
      <c r="V55" s="21">
        <f>Inputs!$D$13*Inputs!$D$14/(1-Inputs!$D$14)</f>
        <v/>
      </c>
      <c r="W55" s="21">
        <f>Inputs!$D$13*Inputs!$D$14/(1-Inputs!$D$14)</f>
        <v/>
      </c>
      <c r="X55" s="21">
        <f>Inputs!$D$13*Inputs!$D$14/(1-Inputs!$D$14)</f>
        <v/>
      </c>
      <c r="Y55" s="21">
        <f>Inputs!$D$13*Inputs!$D$14/(1-Inputs!$D$14)</f>
        <v/>
      </c>
      <c r="Z55" s="21">
        <f>Inputs!$D$13*Inputs!$D$14/(1-Inputs!$D$14)</f>
        <v/>
      </c>
      <c r="AA55" s="21">
        <f>Inputs!$D$13*Inputs!$D$14/(1-Inputs!$D$14)</f>
        <v/>
      </c>
    </row>
    <row r="56">
      <c r="A56" t="inlineStr">
        <is>
          <t>Sell-through after recovered sales and lower stock</t>
        </is>
      </c>
      <c r="B56" s="10">
        <f>B55*(1+B33/Inputs!$D$6)/(B55*(1+B33/Inputs!$D$6)+Inputs!$D$13*(1-Inputs!$D$51))</f>
        <v/>
      </c>
      <c r="C56" s="10">
        <f>C55*(1+C33/Inputs!$D$6)/(C55*(1+C33/Inputs!$D$6)+Inputs!$D$13*(1-Inputs!$D$51))</f>
        <v/>
      </c>
      <c r="D56" s="10">
        <f>D55*(1+D33/Inputs!$D$6)/(D55*(1+D33/Inputs!$D$6)+Inputs!$D$13*(1-Inputs!$D$51))</f>
        <v/>
      </c>
      <c r="E56" s="10">
        <f>E55*(1+E33/Inputs!$D$6)/(E55*(1+E33/Inputs!$D$6)+Inputs!$D$13*(1-Inputs!$D$51))</f>
        <v/>
      </c>
      <c r="F56" s="10">
        <f>F55*(1+F33/Inputs!$D$6)/(F55*(1+F33/Inputs!$D$6)+Inputs!$D$13*(1-Inputs!$D$51))</f>
        <v/>
      </c>
      <c r="G56" s="10">
        <f>G55*(1+G33/Inputs!$D$6)/(G55*(1+G33/Inputs!$D$6)+Inputs!$D$13*(1-Inputs!$D$51))</f>
        <v/>
      </c>
      <c r="H56" s="10">
        <f>H55*(1+H33/Inputs!$D$6)/(H55*(1+H33/Inputs!$D$6)+Inputs!$D$13*(1-Inputs!$D$51))</f>
        <v/>
      </c>
      <c r="I56" s="10">
        <f>I55*(1+I33/Inputs!$D$6)/(I55*(1+I33/Inputs!$D$6)+Inputs!$D$13*(1-Inputs!$D$51))</f>
        <v/>
      </c>
      <c r="J56" s="10">
        <f>J55*(1+J33/Inputs!$D$6)/(J55*(1+J33/Inputs!$D$6)+Inputs!$D$13*(1-Inputs!$D$51))</f>
        <v/>
      </c>
      <c r="K56" s="10">
        <f>K55*(1+K33/Inputs!$D$6)/(K55*(1+K33/Inputs!$D$6)+Inputs!$D$13*(1-Inputs!$D$51))</f>
        <v/>
      </c>
      <c r="L56" s="10">
        <f>L55*(1+L33/Inputs!$D$6)/(L55*(1+L33/Inputs!$D$6)+Inputs!$D$13*(1-Inputs!$D$51))</f>
        <v/>
      </c>
      <c r="M56" s="10">
        <f>M55*(1+M33/Inputs!$D$6)/(M55*(1+M33/Inputs!$D$6)+Inputs!$D$13*(1-Inputs!$D$51))</f>
        <v/>
      </c>
      <c r="N56" s="10">
        <f>N55*(1+N33/Inputs!$D$6)/(N55*(1+N33/Inputs!$D$6)+Inputs!$D$13*(1-Inputs!$D$51))</f>
        <v/>
      </c>
      <c r="O56" s="10">
        <f>O55*(1+O33/Inputs!$D$6)/(O55*(1+O33/Inputs!$D$6)+Inputs!$D$13*(1-Inputs!$D$51))</f>
        <v/>
      </c>
      <c r="P56" s="10">
        <f>P55*(1+P33/Inputs!$D$6)/(P55*(1+P33/Inputs!$D$6)+Inputs!$D$13*(1-Inputs!$C$51))</f>
        <v/>
      </c>
      <c r="Q56" s="10">
        <f>Q55*(1+Q33/Inputs!$D$6)/(Q55*(1+Q33/Inputs!$D$6)+Inputs!$D$13*(1-Inputs!$E$51))</f>
        <v/>
      </c>
      <c r="R56" s="10">
        <f>R55*(1+R33/Inputs!$D$6)/(R55*(1+R33/Inputs!$D$6)+Inputs!$D$13*(1-Inputs!$D$51))</f>
        <v/>
      </c>
      <c r="S56" s="10">
        <f>S55*(1+S33/Inputs!$D$6)/(S55*(1+S33/Inputs!$D$6)+Inputs!$D$13*(1-Inputs!$D$51))</f>
        <v/>
      </c>
      <c r="T56" s="10">
        <f>T55*(1+T33/Inputs!$D$6)/(T55*(1+T33/Inputs!$D$6)+Inputs!$D$13*(1-Inputs!$D$51))</f>
        <v/>
      </c>
      <c r="U56" s="10">
        <f>U55*(1+U33/Inputs!$D$6)/(U55*(1+U33/Inputs!$D$6)+Inputs!$D$13*(1-Inputs!$D$51))</f>
        <v/>
      </c>
      <c r="V56" s="10">
        <f>V55*(1+V33/Inputs!$D$6)/(V55*(1+V33/Inputs!$D$6)+Inputs!$D$13*(1-Inputs!$D$51))</f>
        <v/>
      </c>
      <c r="W56" s="10">
        <f>W55*(1+W33/Inputs!$D$6)/(W55*(1+W33/Inputs!$D$6)+Inputs!$D$13*(1-Inputs!$D$51))</f>
        <v/>
      </c>
      <c r="X56" s="10">
        <f>X55*(1+X33/Inputs!$D$6)/(X55*(1+X33/Inputs!$D$6)+Inputs!$D$13*(1-Inputs!$D$51))</f>
        <v/>
      </c>
      <c r="Y56" s="10">
        <f>Y55*(1+Y33/Inputs!$D$6)/(Y55*(1+Y33/Inputs!$D$6)+Inputs!$D$13*(1-Inputs!$D$51))</f>
        <v/>
      </c>
      <c r="Z56" s="10">
        <f>Z55*(1+Z33/Inputs!$D$6)/(Z55*(1+Z33/Inputs!$D$6)+Inputs!$D$13*(1-Inputs!$D$51))</f>
        <v/>
      </c>
      <c r="AA56" s="10">
        <f>AA55*(1+AA33/Inputs!$D$6)/(AA55*(1+AA33/Inputs!$D$6)+Inputs!$D$13*(1-Inputs!$D$51))</f>
        <v/>
      </c>
    </row>
    <row r="57">
      <c r="A57" t="inlineStr">
        <is>
          <t>Implied sell-through change, points (02b benchmark in Inputs st_pts)</t>
        </is>
      </c>
      <c r="B57" s="24">
        <f>(B56-Inputs!$D$14)*100</f>
        <v/>
      </c>
      <c r="C57" s="24">
        <f>(C56-Inputs!$D$14)*100</f>
        <v/>
      </c>
      <c r="D57" s="24">
        <f>(D56-Inputs!$D$14)*100</f>
        <v/>
      </c>
      <c r="E57" s="24">
        <f>(E56-Inputs!$D$14)*100</f>
        <v/>
      </c>
      <c r="F57" s="24">
        <f>(F56-Inputs!$D$14)*100</f>
        <v/>
      </c>
      <c r="G57" s="24">
        <f>(G56-Inputs!$D$14)*100</f>
        <v/>
      </c>
      <c r="H57" s="24">
        <f>(H56-Inputs!$D$14)*100</f>
        <v/>
      </c>
      <c r="I57" s="24">
        <f>(I56-Inputs!$D$14)*100</f>
        <v/>
      </c>
      <c r="J57" s="24">
        <f>(J56-Inputs!$D$14)*100</f>
        <v/>
      </c>
      <c r="K57" s="24">
        <f>(K56-Inputs!$D$14)*100</f>
        <v/>
      </c>
      <c r="L57" s="24">
        <f>(L56-Inputs!$D$14)*100</f>
        <v/>
      </c>
      <c r="M57" s="24">
        <f>(M56-Inputs!$D$14)*100</f>
        <v/>
      </c>
      <c r="N57" s="24">
        <f>(N56-Inputs!$D$14)*100</f>
        <v/>
      </c>
      <c r="O57" s="24">
        <f>(O56-Inputs!$D$14)*100</f>
        <v/>
      </c>
      <c r="P57" s="24">
        <f>(P56-Inputs!$D$14)*100</f>
        <v/>
      </c>
      <c r="Q57" s="24">
        <f>(Q56-Inputs!$D$14)*100</f>
        <v/>
      </c>
      <c r="R57" s="24">
        <f>(R56-Inputs!$D$14)*100</f>
        <v/>
      </c>
      <c r="S57" s="24">
        <f>(S56-Inputs!$D$14)*100</f>
        <v/>
      </c>
      <c r="T57" s="24">
        <f>(T56-Inputs!$D$14)*100</f>
        <v/>
      </c>
      <c r="U57" s="24">
        <f>(U56-Inputs!$D$14)*100</f>
        <v/>
      </c>
      <c r="V57" s="24">
        <f>(V56-Inputs!$D$14)*100</f>
        <v/>
      </c>
      <c r="W57" s="24">
        <f>(W56-Inputs!$D$14)*100</f>
        <v/>
      </c>
      <c r="X57" s="24">
        <f>(X56-Inputs!$D$14)*100</f>
        <v/>
      </c>
      <c r="Y57" s="24">
        <f>(Y56-Inputs!$D$14)*100</f>
        <v/>
      </c>
      <c r="Z57" s="24">
        <f>(Z56-Inputs!$D$14)*100</f>
        <v/>
      </c>
      <c r="AA57" s="24">
        <f>(AA56-Inputs!$D$14)*100</f>
        <v/>
      </c>
    </row>
    <row r="58">
      <c r="A58" s="4" t="inlineStr">
        <is>
          <t>Three-year view (ramp-up applied)</t>
        </is>
      </c>
    </row>
    <row r="59">
      <c r="A59" t="inlineStr">
        <is>
          <t>Benefit Y1</t>
        </is>
      </c>
      <c r="B59" s="21">
        <f>B51*Inputs!$D$40</f>
        <v/>
      </c>
      <c r="C59" s="21">
        <f>C51*Inputs!$D$40</f>
        <v/>
      </c>
      <c r="D59" s="21">
        <f>D51*Inputs!$D$40</f>
        <v/>
      </c>
      <c r="E59" s="21">
        <f>E51*Inputs!$D$40</f>
        <v/>
      </c>
      <c r="F59" s="21">
        <f>F51*Inputs!$D$40</f>
        <v/>
      </c>
      <c r="G59" s="21">
        <f>G51*Inputs!$D$40</f>
        <v/>
      </c>
      <c r="H59" s="21">
        <f>H51*Inputs!$C$40</f>
        <v/>
      </c>
      <c r="I59" s="21">
        <f>I51*Inputs!$E$40</f>
        <v/>
      </c>
      <c r="J59" s="21">
        <f>J51*Inputs!$D$40</f>
        <v/>
      </c>
      <c r="K59" s="21">
        <f>K51*Inputs!$D$40</f>
        <v/>
      </c>
      <c r="L59" s="21">
        <f>L51*Inputs!$D$40</f>
        <v/>
      </c>
      <c r="M59" s="21">
        <f>M51*Inputs!$D$40</f>
        <v/>
      </c>
      <c r="N59" s="21">
        <f>N51*Inputs!$D$40</f>
        <v/>
      </c>
      <c r="O59" s="21">
        <f>O51*Inputs!$D$40</f>
        <v/>
      </c>
      <c r="P59" s="21">
        <f>P51*Inputs!$D$40</f>
        <v/>
      </c>
      <c r="Q59" s="21">
        <f>Q51*Inputs!$D$40</f>
        <v/>
      </c>
      <c r="R59" s="21">
        <f>R51*Inputs!$D$40</f>
        <v/>
      </c>
      <c r="S59" s="21">
        <f>S51*Inputs!$D$40</f>
        <v/>
      </c>
      <c r="T59" s="21">
        <f>T51*Inputs!$D$40</f>
        <v/>
      </c>
      <c r="U59" s="21">
        <f>U51*Inputs!$D$40</f>
        <v/>
      </c>
      <c r="V59" s="21">
        <f>V51*Inputs!$D$40</f>
        <v/>
      </c>
      <c r="W59" s="21">
        <f>W51*Inputs!$D$40</f>
        <v/>
      </c>
      <c r="X59" s="21">
        <f>X51*Inputs!$D$40</f>
        <v/>
      </c>
      <c r="Y59" s="21">
        <f>Y51*Inputs!$D$40</f>
        <v/>
      </c>
      <c r="Z59" s="21">
        <f>Z51*Inputs!$D$40</f>
        <v/>
      </c>
      <c r="AA59" s="21">
        <f>AA51*Inputs!$D$40</f>
        <v/>
      </c>
    </row>
    <row r="60">
      <c r="A60" t="inlineStr">
        <is>
          <t>Benefit Y2</t>
        </is>
      </c>
      <c r="B60" s="21">
        <f>B51*Inputs!$D$41</f>
        <v/>
      </c>
      <c r="C60" s="21">
        <f>C51*Inputs!$D$41</f>
        <v/>
      </c>
      <c r="D60" s="21">
        <f>D51*Inputs!$D$41</f>
        <v/>
      </c>
      <c r="E60" s="21">
        <f>E51*Inputs!$D$41</f>
        <v/>
      </c>
      <c r="F60" s="21">
        <f>F51*Inputs!$D$41</f>
        <v/>
      </c>
      <c r="G60" s="21">
        <f>G51*Inputs!$D$41</f>
        <v/>
      </c>
      <c r="H60" s="21">
        <f>H51*Inputs!$C$41</f>
        <v/>
      </c>
      <c r="I60" s="21">
        <f>I51*Inputs!$E$41</f>
        <v/>
      </c>
      <c r="J60" s="21">
        <f>J51*Inputs!$D$41</f>
        <v/>
      </c>
      <c r="K60" s="21">
        <f>K51*Inputs!$D$41</f>
        <v/>
      </c>
      <c r="L60" s="21">
        <f>L51*Inputs!$D$41</f>
        <v/>
      </c>
      <c r="M60" s="21">
        <f>M51*Inputs!$D$41</f>
        <v/>
      </c>
      <c r="N60" s="21">
        <f>N51*Inputs!$D$41</f>
        <v/>
      </c>
      <c r="O60" s="21">
        <f>O51*Inputs!$D$41</f>
        <v/>
      </c>
      <c r="P60" s="21">
        <f>P51*Inputs!$D$41</f>
        <v/>
      </c>
      <c r="Q60" s="21">
        <f>Q51*Inputs!$D$41</f>
        <v/>
      </c>
      <c r="R60" s="21">
        <f>R51*Inputs!$D$41</f>
        <v/>
      </c>
      <c r="S60" s="21">
        <f>S51*Inputs!$D$41</f>
        <v/>
      </c>
      <c r="T60" s="21">
        <f>T51*Inputs!$D$41</f>
        <v/>
      </c>
      <c r="U60" s="21">
        <f>U51*Inputs!$D$41</f>
        <v/>
      </c>
      <c r="V60" s="21">
        <f>V51*Inputs!$D$41</f>
        <v/>
      </c>
      <c r="W60" s="21">
        <f>W51*Inputs!$D$41</f>
        <v/>
      </c>
      <c r="X60" s="21">
        <f>X51*Inputs!$D$41</f>
        <v/>
      </c>
      <c r="Y60" s="21">
        <f>Y51*Inputs!$D$41</f>
        <v/>
      </c>
      <c r="Z60" s="21">
        <f>Z51*Inputs!$D$41</f>
        <v/>
      </c>
      <c r="AA60" s="21">
        <f>AA51*Inputs!$D$41</f>
        <v/>
      </c>
    </row>
    <row r="61">
      <c r="A61" t="inlineStr">
        <is>
          <t>Benefit Y3</t>
        </is>
      </c>
      <c r="B61" s="21">
        <f>B51*Inputs!$D$42</f>
        <v/>
      </c>
      <c r="C61" s="21">
        <f>C51*Inputs!$D$42</f>
        <v/>
      </c>
      <c r="D61" s="21">
        <f>D51*Inputs!$D$42</f>
        <v/>
      </c>
      <c r="E61" s="21">
        <f>E51*Inputs!$D$42</f>
        <v/>
      </c>
      <c r="F61" s="21">
        <f>F51*Inputs!$D$42</f>
        <v/>
      </c>
      <c r="G61" s="21">
        <f>G51*Inputs!$D$42</f>
        <v/>
      </c>
      <c r="H61" s="21">
        <f>H51*Inputs!$C$42</f>
        <v/>
      </c>
      <c r="I61" s="21">
        <f>I51*Inputs!$E$42</f>
        <v/>
      </c>
      <c r="J61" s="21">
        <f>J51*Inputs!$D$42</f>
        <v/>
      </c>
      <c r="K61" s="21">
        <f>K51*Inputs!$D$42</f>
        <v/>
      </c>
      <c r="L61" s="21">
        <f>L51*Inputs!$D$42</f>
        <v/>
      </c>
      <c r="M61" s="21">
        <f>M51*Inputs!$D$42</f>
        <v/>
      </c>
      <c r="N61" s="21">
        <f>N51*Inputs!$D$42</f>
        <v/>
      </c>
      <c r="O61" s="21">
        <f>O51*Inputs!$D$42</f>
        <v/>
      </c>
      <c r="P61" s="21">
        <f>P51*Inputs!$D$42</f>
        <v/>
      </c>
      <c r="Q61" s="21">
        <f>Q51*Inputs!$D$42</f>
        <v/>
      </c>
      <c r="R61" s="21">
        <f>R51*Inputs!$D$42</f>
        <v/>
      </c>
      <c r="S61" s="21">
        <f>S51*Inputs!$D$42</f>
        <v/>
      </c>
      <c r="T61" s="21">
        <f>T51*Inputs!$D$42</f>
        <v/>
      </c>
      <c r="U61" s="21">
        <f>U51*Inputs!$D$42</f>
        <v/>
      </c>
      <c r="V61" s="21">
        <f>V51*Inputs!$D$42</f>
        <v/>
      </c>
      <c r="W61" s="21">
        <f>W51*Inputs!$D$42</f>
        <v/>
      </c>
      <c r="X61" s="21">
        <f>X51*Inputs!$D$42</f>
        <v/>
      </c>
      <c r="Y61" s="21">
        <f>Y51*Inputs!$D$42</f>
        <v/>
      </c>
      <c r="Z61" s="21">
        <f>Z51*Inputs!$D$42</f>
        <v/>
      </c>
      <c r="AA61" s="21">
        <f>AA51*Inputs!$D$42</f>
        <v/>
      </c>
    </row>
    <row r="62">
      <c r="A62" t="inlineStr">
        <is>
          <t>Cost Y1</t>
        </is>
      </c>
      <c r="B62" s="21">
        <f>Costs!$B$27*Inputs!$D$39</f>
        <v/>
      </c>
      <c r="C62" s="21">
        <f>Costs!$B$27*Inputs!$D$39</f>
        <v/>
      </c>
      <c r="D62" s="21">
        <f>Costs!$B$27*Inputs!$C$39</f>
        <v/>
      </c>
      <c r="E62" s="21">
        <f>Costs!$B$27*Inputs!$E$39</f>
        <v/>
      </c>
      <c r="F62" s="21">
        <f>Costs!$B$27*Inputs!$D$39</f>
        <v/>
      </c>
      <c r="G62" s="21">
        <f>Costs!$B$27*Inputs!$D$39</f>
        <v/>
      </c>
      <c r="H62" s="21">
        <f>Costs!$B$27*Inputs!$D$39</f>
        <v/>
      </c>
      <c r="I62" s="21">
        <f>Costs!$B$27*Inputs!$D$39</f>
        <v/>
      </c>
      <c r="J62" s="21">
        <f>Costs!$B$27*Inputs!$D$39</f>
        <v/>
      </c>
      <c r="K62" s="21">
        <f>Costs!$B$27*Inputs!$D$39</f>
        <v/>
      </c>
      <c r="L62" s="21">
        <f>Costs!$B$27*Inputs!$D$39</f>
        <v/>
      </c>
      <c r="M62" s="21">
        <f>Costs!$B$27*Inputs!$D$39</f>
        <v/>
      </c>
      <c r="N62" s="21">
        <f>Costs!$B$27*Inputs!$D$39</f>
        <v/>
      </c>
      <c r="O62" s="21">
        <f>Costs!$B$27*Inputs!$D$39</f>
        <v/>
      </c>
      <c r="P62" s="21">
        <f>Costs!$B$27*Inputs!$D$39</f>
        <v/>
      </c>
      <c r="Q62" s="21">
        <f>Costs!$B$27*Inputs!$D$39</f>
        <v/>
      </c>
      <c r="R62" s="21">
        <f>Costs!$B$27*Inputs!$D$39</f>
        <v/>
      </c>
      <c r="S62" s="21">
        <f>Costs!$B$27*Inputs!$D$39</f>
        <v/>
      </c>
      <c r="T62" s="21">
        <f>Costs!$B$27*Inputs!$D$39</f>
        <v/>
      </c>
      <c r="U62" s="21">
        <f>Costs!$B$27*Inputs!$D$39</f>
        <v/>
      </c>
      <c r="V62" s="21">
        <f>Costs!$B$27*Inputs!$D$39</f>
        <v/>
      </c>
      <c r="W62" s="21">
        <f>Costs!$B$27*Inputs!$D$39</f>
        <v/>
      </c>
      <c r="X62" s="21">
        <f>Costs!$B$27*Inputs!$D$39</f>
        <v/>
      </c>
      <c r="Y62" s="21">
        <f>Costs!$B$27*Inputs!$D$39</f>
        <v/>
      </c>
      <c r="Z62" s="21">
        <f>Costs!$B$27*Inputs!$D$39</f>
        <v/>
      </c>
      <c r="AA62" s="21">
        <f>Costs!$B$27*Inputs!$D$39</f>
        <v/>
      </c>
    </row>
    <row r="63">
      <c r="A63" t="inlineStr">
        <is>
          <t>Cost Y2</t>
        </is>
      </c>
      <c r="B63" s="21">
        <f>Costs!$C$27*Inputs!$D$39</f>
        <v/>
      </c>
      <c r="C63" s="21">
        <f>Costs!$C$27*Inputs!$D$39</f>
        <v/>
      </c>
      <c r="D63" s="21">
        <f>Costs!$C$27*Inputs!$C$39</f>
        <v/>
      </c>
      <c r="E63" s="21">
        <f>Costs!$C$27*Inputs!$E$39</f>
        <v/>
      </c>
      <c r="F63" s="21">
        <f>Costs!$C$27*Inputs!$D$39</f>
        <v/>
      </c>
      <c r="G63" s="21">
        <f>Costs!$C$27*Inputs!$D$39</f>
        <v/>
      </c>
      <c r="H63" s="21">
        <f>Costs!$C$27*Inputs!$D$39</f>
        <v/>
      </c>
      <c r="I63" s="21">
        <f>Costs!$C$27*Inputs!$D$39</f>
        <v/>
      </c>
      <c r="J63" s="21">
        <f>Costs!$C$27*Inputs!$D$39</f>
        <v/>
      </c>
      <c r="K63" s="21">
        <f>Costs!$C$27*Inputs!$D$39</f>
        <v/>
      </c>
      <c r="L63" s="21">
        <f>Costs!$C$27*Inputs!$D$39</f>
        <v/>
      </c>
      <c r="M63" s="21">
        <f>Costs!$C$27*Inputs!$D$39</f>
        <v/>
      </c>
      <c r="N63" s="21">
        <f>Costs!$C$27*Inputs!$D$39</f>
        <v/>
      </c>
      <c r="O63" s="21">
        <f>Costs!$C$27*Inputs!$D$39</f>
        <v/>
      </c>
      <c r="P63" s="21">
        <f>Costs!$C$27*Inputs!$D$39</f>
        <v/>
      </c>
      <c r="Q63" s="21">
        <f>Costs!$C$27*Inputs!$D$39</f>
        <v/>
      </c>
      <c r="R63" s="21">
        <f>Costs!$C$27*Inputs!$D$39</f>
        <v/>
      </c>
      <c r="S63" s="21">
        <f>Costs!$C$27*Inputs!$D$39</f>
        <v/>
      </c>
      <c r="T63" s="21">
        <f>Costs!$C$27*Inputs!$D$39</f>
        <v/>
      </c>
      <c r="U63" s="21">
        <f>Costs!$C$27*Inputs!$D$39</f>
        <v/>
      </c>
      <c r="V63" s="21">
        <f>Costs!$C$27*Inputs!$D$39</f>
        <v/>
      </c>
      <c r="W63" s="21">
        <f>Costs!$C$27*Inputs!$D$39</f>
        <v/>
      </c>
      <c r="X63" s="21">
        <f>Costs!$C$27*Inputs!$D$39</f>
        <v/>
      </c>
      <c r="Y63" s="21">
        <f>Costs!$C$27*Inputs!$D$39</f>
        <v/>
      </c>
      <c r="Z63" s="21">
        <f>Costs!$C$27*Inputs!$D$39</f>
        <v/>
      </c>
      <c r="AA63" s="21">
        <f>Costs!$C$27*Inputs!$D$39</f>
        <v/>
      </c>
    </row>
    <row r="64">
      <c r="A64" t="inlineStr">
        <is>
          <t>Cost Y3</t>
        </is>
      </c>
      <c r="B64" s="21">
        <f>Costs!$D$27*Inputs!$D$39</f>
        <v/>
      </c>
      <c r="C64" s="21">
        <f>Costs!$D$27*Inputs!$D$39</f>
        <v/>
      </c>
      <c r="D64" s="21">
        <f>Costs!$D$27*Inputs!$C$39</f>
        <v/>
      </c>
      <c r="E64" s="21">
        <f>Costs!$D$27*Inputs!$E$39</f>
        <v/>
      </c>
      <c r="F64" s="21">
        <f>Costs!$D$27*Inputs!$D$39</f>
        <v/>
      </c>
      <c r="G64" s="21">
        <f>Costs!$D$27*Inputs!$D$39</f>
        <v/>
      </c>
      <c r="H64" s="21">
        <f>Costs!$D$27*Inputs!$D$39</f>
        <v/>
      </c>
      <c r="I64" s="21">
        <f>Costs!$D$27*Inputs!$D$39</f>
        <v/>
      </c>
      <c r="J64" s="21">
        <f>Costs!$D$27*Inputs!$D$39</f>
        <v/>
      </c>
      <c r="K64" s="21">
        <f>Costs!$D$27*Inputs!$D$39</f>
        <v/>
      </c>
      <c r="L64" s="21">
        <f>Costs!$D$27*Inputs!$D$39</f>
        <v/>
      </c>
      <c r="M64" s="21">
        <f>Costs!$D$27*Inputs!$D$39</f>
        <v/>
      </c>
      <c r="N64" s="21">
        <f>Costs!$D$27*Inputs!$D$39</f>
        <v/>
      </c>
      <c r="O64" s="21">
        <f>Costs!$D$27*Inputs!$D$39</f>
        <v/>
      </c>
      <c r="P64" s="21">
        <f>Costs!$D$27*Inputs!$D$39</f>
        <v/>
      </c>
      <c r="Q64" s="21">
        <f>Costs!$D$27*Inputs!$D$39</f>
        <v/>
      </c>
      <c r="R64" s="21">
        <f>Costs!$D$27*Inputs!$D$39</f>
        <v/>
      </c>
      <c r="S64" s="21">
        <f>Costs!$D$27*Inputs!$D$39</f>
        <v/>
      </c>
      <c r="T64" s="21">
        <f>Costs!$D$27*Inputs!$D$39</f>
        <v/>
      </c>
      <c r="U64" s="21">
        <f>Costs!$D$27*Inputs!$D$39</f>
        <v/>
      </c>
      <c r="V64" s="21">
        <f>Costs!$D$27*Inputs!$D$39</f>
        <v/>
      </c>
      <c r="W64" s="21">
        <f>Costs!$D$27*Inputs!$D$39</f>
        <v/>
      </c>
      <c r="X64" s="21">
        <f>Costs!$D$27*Inputs!$D$39</f>
        <v/>
      </c>
      <c r="Y64" s="21">
        <f>Costs!$D$27*Inputs!$D$39</f>
        <v/>
      </c>
      <c r="Z64" s="21">
        <f>Costs!$D$27*Inputs!$D$39</f>
        <v/>
      </c>
      <c r="AA64" s="21">
        <f>Costs!$D$27*Inputs!$D$39</f>
        <v/>
      </c>
    </row>
    <row r="65">
      <c r="A65" t="inlineStr">
        <is>
          <t>Net Y1</t>
        </is>
      </c>
      <c r="B65" s="21">
        <f>B59-B62</f>
        <v/>
      </c>
      <c r="C65" s="21">
        <f>C59-C62</f>
        <v/>
      </c>
      <c r="D65" s="21">
        <f>D59-D62</f>
        <v/>
      </c>
      <c r="E65" s="21">
        <f>E59-E62</f>
        <v/>
      </c>
      <c r="F65" s="21">
        <f>F59-F62</f>
        <v/>
      </c>
      <c r="G65" s="21">
        <f>G59-G62</f>
        <v/>
      </c>
      <c r="H65" s="21">
        <f>H59-H62</f>
        <v/>
      </c>
      <c r="I65" s="21">
        <f>I59-I62</f>
        <v/>
      </c>
      <c r="J65" s="21">
        <f>J59-J62</f>
        <v/>
      </c>
      <c r="K65" s="21">
        <f>K59-K62</f>
        <v/>
      </c>
      <c r="L65" s="21">
        <f>L59-L62</f>
        <v/>
      </c>
      <c r="M65" s="21">
        <f>M59-M62</f>
        <v/>
      </c>
      <c r="N65" s="21">
        <f>N59-N62</f>
        <v/>
      </c>
      <c r="O65" s="21">
        <f>O59-O62</f>
        <v/>
      </c>
      <c r="P65" s="21">
        <f>P59-P62</f>
        <v/>
      </c>
      <c r="Q65" s="21">
        <f>Q59-Q62</f>
        <v/>
      </c>
      <c r="R65" s="21">
        <f>R59-R62</f>
        <v/>
      </c>
      <c r="S65" s="21">
        <f>S59-S62</f>
        <v/>
      </c>
      <c r="T65" s="21">
        <f>T59-T62</f>
        <v/>
      </c>
      <c r="U65" s="21">
        <f>U59-U62</f>
        <v/>
      </c>
      <c r="V65" s="21">
        <f>V59-V62</f>
        <v/>
      </c>
      <c r="W65" s="21">
        <f>W59-W62</f>
        <v/>
      </c>
      <c r="X65" s="21">
        <f>X59-X62</f>
        <v/>
      </c>
      <c r="Y65" s="21">
        <f>Y59-Y62</f>
        <v/>
      </c>
      <c r="Z65" s="21">
        <f>Z59-Z62</f>
        <v/>
      </c>
      <c r="AA65" s="21">
        <f>AA59-AA62</f>
        <v/>
      </c>
    </row>
    <row r="66">
      <c r="A66" t="inlineStr">
        <is>
          <t>Net Y2</t>
        </is>
      </c>
      <c r="B66" s="21">
        <f>B60-B63</f>
        <v/>
      </c>
      <c r="C66" s="21">
        <f>C60-C63</f>
        <v/>
      </c>
      <c r="D66" s="21">
        <f>D60-D63</f>
        <v/>
      </c>
      <c r="E66" s="21">
        <f>E60-E63</f>
        <v/>
      </c>
      <c r="F66" s="21">
        <f>F60-F63</f>
        <v/>
      </c>
      <c r="G66" s="21">
        <f>G60-G63</f>
        <v/>
      </c>
      <c r="H66" s="21">
        <f>H60-H63</f>
        <v/>
      </c>
      <c r="I66" s="21">
        <f>I60-I63</f>
        <v/>
      </c>
      <c r="J66" s="21">
        <f>J60-J63</f>
        <v/>
      </c>
      <c r="K66" s="21">
        <f>K60-K63</f>
        <v/>
      </c>
      <c r="L66" s="21">
        <f>L60-L63</f>
        <v/>
      </c>
      <c r="M66" s="21">
        <f>M60-M63</f>
        <v/>
      </c>
      <c r="N66" s="21">
        <f>N60-N63</f>
        <v/>
      </c>
      <c r="O66" s="21">
        <f>O60-O63</f>
        <v/>
      </c>
      <c r="P66" s="21">
        <f>P60-P63</f>
        <v/>
      </c>
      <c r="Q66" s="21">
        <f>Q60-Q63</f>
        <v/>
      </c>
      <c r="R66" s="21">
        <f>R60-R63</f>
        <v/>
      </c>
      <c r="S66" s="21">
        <f>S60-S63</f>
        <v/>
      </c>
      <c r="T66" s="21">
        <f>T60-T63</f>
        <v/>
      </c>
      <c r="U66" s="21">
        <f>U60-U63</f>
        <v/>
      </c>
      <c r="V66" s="21">
        <f>V60-V63</f>
        <v/>
      </c>
      <c r="W66" s="21">
        <f>W60-W63</f>
        <v/>
      </c>
      <c r="X66" s="21">
        <f>X60-X63</f>
        <v/>
      </c>
      <c r="Y66" s="21">
        <f>Y60-Y63</f>
        <v/>
      </c>
      <c r="Z66" s="21">
        <f>Z60-Z63</f>
        <v/>
      </c>
      <c r="AA66" s="21">
        <f>AA60-AA63</f>
        <v/>
      </c>
    </row>
    <row r="67">
      <c r="A67" t="inlineStr">
        <is>
          <t>Net Y3</t>
        </is>
      </c>
      <c r="B67" s="21">
        <f>B61-B64</f>
        <v/>
      </c>
      <c r="C67" s="21">
        <f>C61-C64</f>
        <v/>
      </c>
      <c r="D67" s="21">
        <f>D61-D64</f>
        <v/>
      </c>
      <c r="E67" s="21">
        <f>E61-E64</f>
        <v/>
      </c>
      <c r="F67" s="21">
        <f>F61-F64</f>
        <v/>
      </c>
      <c r="G67" s="21">
        <f>G61-G64</f>
        <v/>
      </c>
      <c r="H67" s="21">
        <f>H61-H64</f>
        <v/>
      </c>
      <c r="I67" s="21">
        <f>I61-I64</f>
        <v/>
      </c>
      <c r="J67" s="21">
        <f>J61-J64</f>
        <v/>
      </c>
      <c r="K67" s="21">
        <f>K61-K64</f>
        <v/>
      </c>
      <c r="L67" s="21">
        <f>L61-L64</f>
        <v/>
      </c>
      <c r="M67" s="21">
        <f>M61-M64</f>
        <v/>
      </c>
      <c r="N67" s="21">
        <f>N61-N64</f>
        <v/>
      </c>
      <c r="O67" s="21">
        <f>O61-O64</f>
        <v/>
      </c>
      <c r="P67" s="21">
        <f>P61-P64</f>
        <v/>
      </c>
      <c r="Q67" s="21">
        <f>Q61-Q64</f>
        <v/>
      </c>
      <c r="R67" s="21">
        <f>R61-R64</f>
        <v/>
      </c>
      <c r="S67" s="21">
        <f>S61-S64</f>
        <v/>
      </c>
      <c r="T67" s="21">
        <f>T61-T64</f>
        <v/>
      </c>
      <c r="U67" s="21">
        <f>U61-U64</f>
        <v/>
      </c>
      <c r="V67" s="21">
        <f>V61-V64</f>
        <v/>
      </c>
      <c r="W67" s="21">
        <f>W61-W64</f>
        <v/>
      </c>
      <c r="X67" s="21">
        <f>X61-X64</f>
        <v/>
      </c>
      <c r="Y67" s="21">
        <f>Y61-Y64</f>
        <v/>
      </c>
      <c r="Z67" s="21">
        <f>Z61-Z64</f>
        <v/>
      </c>
      <c r="AA67" s="21">
        <f>AA61-AA64</f>
        <v/>
      </c>
    </row>
    <row r="68">
      <c r="A68" t="inlineStr">
        <is>
          <t>PV of benefits</t>
        </is>
      </c>
      <c r="B68" s="21">
        <f>B59/(1+Inputs!$D$27)+B60/(1+Inputs!$D$27)^2+B61/(1+Inputs!$D$27)^3</f>
        <v/>
      </c>
      <c r="C68" s="21">
        <f>C59/(1+Inputs!$D$27)+C60/(1+Inputs!$D$27)^2+C61/(1+Inputs!$D$27)^3</f>
        <v/>
      </c>
      <c r="D68" s="21">
        <f>D59/(1+Inputs!$D$27)+D60/(1+Inputs!$D$27)^2+D61/(1+Inputs!$D$27)^3</f>
        <v/>
      </c>
      <c r="E68" s="21">
        <f>E59/(1+Inputs!$D$27)+E60/(1+Inputs!$D$27)^2+E61/(1+Inputs!$D$27)^3</f>
        <v/>
      </c>
      <c r="F68" s="21">
        <f>F59/(1+Inputs!$D$27)+F60/(1+Inputs!$D$27)^2+F61/(1+Inputs!$D$27)^3</f>
        <v/>
      </c>
      <c r="G68" s="21">
        <f>G59/(1+Inputs!$D$27)+G60/(1+Inputs!$D$27)^2+G61/(1+Inputs!$D$27)^3</f>
        <v/>
      </c>
      <c r="H68" s="21">
        <f>H59/(1+Inputs!$D$27)+H60/(1+Inputs!$D$27)^2+H61/(1+Inputs!$D$27)^3</f>
        <v/>
      </c>
      <c r="I68" s="21">
        <f>I59/(1+Inputs!$D$27)+I60/(1+Inputs!$D$27)^2+I61/(1+Inputs!$D$27)^3</f>
        <v/>
      </c>
      <c r="J68" s="21">
        <f>J59/(1+Inputs!$D$27)+J60/(1+Inputs!$D$27)^2+J61/(1+Inputs!$D$27)^3</f>
        <v/>
      </c>
      <c r="K68" s="21">
        <f>K59/(1+Inputs!$D$27)+K60/(1+Inputs!$D$27)^2+K61/(1+Inputs!$D$27)^3</f>
        <v/>
      </c>
      <c r="L68" s="21">
        <f>L59/(1+Inputs!$D$27)+L60/(1+Inputs!$D$27)^2+L61/(1+Inputs!$D$27)^3</f>
        <v/>
      </c>
      <c r="M68" s="21">
        <f>M59/(1+Inputs!$D$27)+M60/(1+Inputs!$D$27)^2+M61/(1+Inputs!$D$27)^3</f>
        <v/>
      </c>
      <c r="N68" s="21">
        <f>N59/(1+Inputs!$D$27)+N60/(1+Inputs!$D$27)^2+N61/(1+Inputs!$D$27)^3</f>
        <v/>
      </c>
      <c r="O68" s="21">
        <f>O59/(1+Inputs!$D$27)+O60/(1+Inputs!$D$27)^2+O61/(1+Inputs!$D$27)^3</f>
        <v/>
      </c>
      <c r="P68" s="21">
        <f>P59/(1+Inputs!$D$27)+P60/(1+Inputs!$D$27)^2+P61/(1+Inputs!$D$27)^3</f>
        <v/>
      </c>
      <c r="Q68" s="21">
        <f>Q59/(1+Inputs!$D$27)+Q60/(1+Inputs!$D$27)^2+Q61/(1+Inputs!$D$27)^3</f>
        <v/>
      </c>
      <c r="R68" s="21">
        <f>R59/(1+Inputs!$D$27)+R60/(1+Inputs!$D$27)^2+R61/(1+Inputs!$D$27)^3</f>
        <v/>
      </c>
      <c r="S68" s="21">
        <f>S59/(1+Inputs!$D$27)+S60/(1+Inputs!$D$27)^2+S61/(1+Inputs!$D$27)^3</f>
        <v/>
      </c>
      <c r="T68" s="21">
        <f>T59/(1+Inputs!$D$27)+T60/(1+Inputs!$D$27)^2+T61/(1+Inputs!$D$27)^3</f>
        <v/>
      </c>
      <c r="U68" s="21">
        <f>U59/(1+Inputs!$D$27)+U60/(1+Inputs!$D$27)^2+U61/(1+Inputs!$D$27)^3</f>
        <v/>
      </c>
      <c r="V68" s="21">
        <f>V59/(1+Inputs!$D$27)+V60/(1+Inputs!$D$27)^2+V61/(1+Inputs!$D$27)^3</f>
        <v/>
      </c>
      <c r="W68" s="21">
        <f>W59/(1+Inputs!$D$27)+W60/(1+Inputs!$D$27)^2+W61/(1+Inputs!$D$27)^3</f>
        <v/>
      </c>
      <c r="X68" s="21">
        <f>X59/(1+Inputs!$D$27)+X60/(1+Inputs!$D$27)^2+X61/(1+Inputs!$D$27)^3</f>
        <v/>
      </c>
      <c r="Y68" s="21">
        <f>Y59/(1+Inputs!$D$27)+Y60/(1+Inputs!$D$27)^2+Y61/(1+Inputs!$D$27)^3</f>
        <v/>
      </c>
      <c r="Z68" s="21">
        <f>Z59/(1+Inputs!$D$27)+Z60/(1+Inputs!$D$27)^2+Z61/(1+Inputs!$D$27)^3</f>
        <v/>
      </c>
      <c r="AA68" s="21">
        <f>AA59/(1+Inputs!$D$27)+AA60/(1+Inputs!$D$27)^2+AA61/(1+Inputs!$D$27)^3</f>
        <v/>
      </c>
    </row>
    <row r="69">
      <c r="A69" t="inlineStr">
        <is>
          <t>PV of costs</t>
        </is>
      </c>
      <c r="B69" s="21">
        <f>B62/(1+Inputs!$D$27)+B63/(1+Inputs!$D$27)^2+B64/(1+Inputs!$D$27)^3</f>
        <v/>
      </c>
      <c r="C69" s="21">
        <f>C62/(1+Inputs!$D$27)+C63/(1+Inputs!$D$27)^2+C64/(1+Inputs!$D$27)^3</f>
        <v/>
      </c>
      <c r="D69" s="21">
        <f>D62/(1+Inputs!$D$27)+D63/(1+Inputs!$D$27)^2+D64/(1+Inputs!$D$27)^3</f>
        <v/>
      </c>
      <c r="E69" s="21">
        <f>E62/(1+Inputs!$D$27)+E63/(1+Inputs!$D$27)^2+E64/(1+Inputs!$D$27)^3</f>
        <v/>
      </c>
      <c r="F69" s="21">
        <f>F62/(1+Inputs!$D$27)+F63/(1+Inputs!$D$27)^2+F64/(1+Inputs!$D$27)^3</f>
        <v/>
      </c>
      <c r="G69" s="21">
        <f>G62/(1+Inputs!$D$27)+G63/(1+Inputs!$D$27)^2+G64/(1+Inputs!$D$27)^3</f>
        <v/>
      </c>
      <c r="H69" s="21">
        <f>H62/(1+Inputs!$D$27)+H63/(1+Inputs!$D$27)^2+H64/(1+Inputs!$D$27)^3</f>
        <v/>
      </c>
      <c r="I69" s="21">
        <f>I62/(1+Inputs!$D$27)+I63/(1+Inputs!$D$27)^2+I64/(1+Inputs!$D$27)^3</f>
        <v/>
      </c>
      <c r="J69" s="21">
        <f>J62/(1+Inputs!$D$27)+J63/(1+Inputs!$D$27)^2+J64/(1+Inputs!$D$27)^3</f>
        <v/>
      </c>
      <c r="K69" s="21">
        <f>K62/(1+Inputs!$D$27)+K63/(1+Inputs!$D$27)^2+K64/(1+Inputs!$D$27)^3</f>
        <v/>
      </c>
      <c r="L69" s="21">
        <f>L62/(1+Inputs!$D$27)+L63/(1+Inputs!$D$27)^2+L64/(1+Inputs!$D$27)^3</f>
        <v/>
      </c>
      <c r="M69" s="21">
        <f>M62/(1+Inputs!$D$27)+M63/(1+Inputs!$D$27)^2+M64/(1+Inputs!$D$27)^3</f>
        <v/>
      </c>
      <c r="N69" s="21">
        <f>N62/(1+Inputs!$D$27)+N63/(1+Inputs!$D$27)^2+N64/(1+Inputs!$D$27)^3</f>
        <v/>
      </c>
      <c r="O69" s="21">
        <f>O62/(1+Inputs!$D$27)+O63/(1+Inputs!$D$27)^2+O64/(1+Inputs!$D$27)^3</f>
        <v/>
      </c>
      <c r="P69" s="21">
        <f>P62/(1+Inputs!$D$27)+P63/(1+Inputs!$D$27)^2+P64/(1+Inputs!$D$27)^3</f>
        <v/>
      </c>
      <c r="Q69" s="21">
        <f>Q62/(1+Inputs!$D$27)+Q63/(1+Inputs!$D$27)^2+Q64/(1+Inputs!$D$27)^3</f>
        <v/>
      </c>
      <c r="R69" s="21">
        <f>R62/(1+Inputs!$D$27)+R63/(1+Inputs!$D$27)^2+R64/(1+Inputs!$D$27)^3</f>
        <v/>
      </c>
      <c r="S69" s="21">
        <f>S62/(1+Inputs!$D$27)+S63/(1+Inputs!$D$27)^2+S64/(1+Inputs!$D$27)^3</f>
        <v/>
      </c>
      <c r="T69" s="21">
        <f>T62/(1+Inputs!$D$27)+T63/(1+Inputs!$D$27)^2+T64/(1+Inputs!$D$27)^3</f>
        <v/>
      </c>
      <c r="U69" s="21">
        <f>U62/(1+Inputs!$D$27)+U63/(1+Inputs!$D$27)^2+U64/(1+Inputs!$D$27)^3</f>
        <v/>
      </c>
      <c r="V69" s="21">
        <f>V62/(1+Inputs!$D$27)+V63/(1+Inputs!$D$27)^2+V64/(1+Inputs!$D$27)^3</f>
        <v/>
      </c>
      <c r="W69" s="21">
        <f>W62/(1+Inputs!$D$27)+W63/(1+Inputs!$D$27)^2+W64/(1+Inputs!$D$27)^3</f>
        <v/>
      </c>
      <c r="X69" s="21">
        <f>X62/(1+Inputs!$D$27)+X63/(1+Inputs!$D$27)^2+X64/(1+Inputs!$D$27)^3</f>
        <v/>
      </c>
      <c r="Y69" s="21">
        <f>Y62/(1+Inputs!$D$27)+Y63/(1+Inputs!$D$27)^2+Y64/(1+Inputs!$D$27)^3</f>
        <v/>
      </c>
      <c r="Z69" s="21">
        <f>Z62/(1+Inputs!$D$27)+Z63/(1+Inputs!$D$27)^2+Z64/(1+Inputs!$D$27)^3</f>
        <v/>
      </c>
      <c r="AA69" s="21">
        <f>AA62/(1+Inputs!$D$27)+AA63/(1+Inputs!$D$27)^2+AA64/(1+Inputs!$D$27)^3</f>
        <v/>
      </c>
    </row>
    <row r="70">
      <c r="A70" t="inlineStr">
        <is>
          <t>3-YEAR NPV (excl one-off cash release)</t>
        </is>
      </c>
      <c r="B70" s="23">
        <f>B68-B69</f>
        <v/>
      </c>
      <c r="C70" s="23">
        <f>C68-C69</f>
        <v/>
      </c>
      <c r="D70" s="23">
        <f>D68-D69</f>
        <v/>
      </c>
      <c r="E70" s="23">
        <f>E68-E69</f>
        <v/>
      </c>
      <c r="F70" s="23">
        <f>F68-F69</f>
        <v/>
      </c>
      <c r="G70" s="23">
        <f>G68-G69</f>
        <v/>
      </c>
      <c r="H70" s="23">
        <f>H68-H69</f>
        <v/>
      </c>
      <c r="I70" s="23">
        <f>I68-I69</f>
        <v/>
      </c>
      <c r="J70" s="23">
        <f>J68-J69</f>
        <v/>
      </c>
      <c r="K70" s="23">
        <f>K68-K69</f>
        <v/>
      </c>
      <c r="L70" s="23">
        <f>L68-L69</f>
        <v/>
      </c>
      <c r="M70" s="23">
        <f>M68-M69</f>
        <v/>
      </c>
      <c r="N70" s="23">
        <f>N68-N69</f>
        <v/>
      </c>
      <c r="O70" s="23">
        <f>O68-O69</f>
        <v/>
      </c>
      <c r="P70" s="23">
        <f>P68-P69</f>
        <v/>
      </c>
      <c r="Q70" s="23">
        <f>Q68-Q69</f>
        <v/>
      </c>
      <c r="R70" s="23">
        <f>R68-R69</f>
        <v/>
      </c>
      <c r="S70" s="23">
        <f>S68-S69</f>
        <v/>
      </c>
      <c r="T70" s="23">
        <f>T68-T69</f>
        <v/>
      </c>
      <c r="U70" s="23">
        <f>U68-U69</f>
        <v/>
      </c>
      <c r="V70" s="23">
        <f>V68-V69</f>
        <v/>
      </c>
      <c r="W70" s="23">
        <f>W68-W69</f>
        <v/>
      </c>
      <c r="X70" s="23">
        <f>X68-X69</f>
        <v/>
      </c>
      <c r="Y70" s="23">
        <f>Y68-Y69</f>
        <v/>
      </c>
      <c r="Z70" s="23">
        <f>Z68-Z69</f>
        <v/>
      </c>
      <c r="AA70" s="23">
        <f>AA68-AA69</f>
        <v/>
      </c>
    </row>
    <row r="71">
      <c r="A71" t="inlineStr">
        <is>
          <t>ROI multiple (PV benefits / PV costs)</t>
        </is>
      </c>
      <c r="B71" s="25">
        <f>B68/B69</f>
        <v/>
      </c>
      <c r="C71" s="25">
        <f>C68/C69</f>
        <v/>
      </c>
      <c r="D71" s="25">
        <f>D68/D69</f>
        <v/>
      </c>
      <c r="E71" s="25">
        <f>E68/E69</f>
        <v/>
      </c>
      <c r="F71" s="25">
        <f>F68/F69</f>
        <v/>
      </c>
      <c r="G71" s="25">
        <f>G68/G69</f>
        <v/>
      </c>
      <c r="H71" s="25">
        <f>H68/H69</f>
        <v/>
      </c>
      <c r="I71" s="25">
        <f>I68/I69</f>
        <v/>
      </c>
      <c r="J71" s="25">
        <f>J68/J69</f>
        <v/>
      </c>
      <c r="K71" s="25">
        <f>K68/K69</f>
        <v/>
      </c>
      <c r="L71" s="25">
        <f>L68/L69</f>
        <v/>
      </c>
      <c r="M71" s="25">
        <f>M68/M69</f>
        <v/>
      </c>
      <c r="N71" s="25">
        <f>N68/N69</f>
        <v/>
      </c>
      <c r="O71" s="25">
        <f>O68/O69</f>
        <v/>
      </c>
      <c r="P71" s="25">
        <f>P68/P69</f>
        <v/>
      </c>
      <c r="Q71" s="25">
        <f>Q68/Q69</f>
        <v/>
      </c>
      <c r="R71" s="25">
        <f>R68/R69</f>
        <v/>
      </c>
      <c r="S71" s="25">
        <f>S68/S69</f>
        <v/>
      </c>
      <c r="T71" s="25">
        <f>T68/T69</f>
        <v/>
      </c>
      <c r="U71" s="25">
        <f>U68/U69</f>
        <v/>
      </c>
      <c r="V71" s="25">
        <f>V68/V69</f>
        <v/>
      </c>
      <c r="W71" s="25">
        <f>W68/W69</f>
        <v/>
      </c>
      <c r="X71" s="25">
        <f>X68/X69</f>
        <v/>
      </c>
      <c r="Y71" s="25">
        <f>Y68/Y69</f>
        <v/>
      </c>
      <c r="Z71" s="25">
        <f>Z68/Z69</f>
        <v/>
      </c>
      <c r="AA71" s="25">
        <f>AA68/AA69</f>
        <v/>
      </c>
    </row>
    <row r="72">
      <c r="A72" t="inlineStr">
        <is>
          <t>Cash release Y1</t>
        </is>
      </c>
      <c r="B72" s="21">
        <f>B37*Inputs!$D$40</f>
        <v/>
      </c>
      <c r="C72" s="21">
        <f>C37*Inputs!$D$40</f>
        <v/>
      </c>
      <c r="D72" s="21">
        <f>D37*Inputs!$D$40</f>
        <v/>
      </c>
      <c r="E72" s="21">
        <f>E37*Inputs!$D$40</f>
        <v/>
      </c>
      <c r="F72" s="21">
        <f>F37*Inputs!$D$40</f>
        <v/>
      </c>
      <c r="G72" s="21">
        <f>G37*Inputs!$D$40</f>
        <v/>
      </c>
      <c r="H72" s="21">
        <f>H37*Inputs!$C$40</f>
        <v/>
      </c>
      <c r="I72" s="21">
        <f>I37*Inputs!$E$40</f>
        <v/>
      </c>
      <c r="J72" s="21">
        <f>J37*Inputs!$D$40</f>
        <v/>
      </c>
      <c r="K72" s="21">
        <f>K37*Inputs!$D$40</f>
        <v/>
      </c>
      <c r="L72" s="21">
        <f>L37*Inputs!$D$40</f>
        <v/>
      </c>
      <c r="M72" s="21">
        <f>M37*Inputs!$D$40</f>
        <v/>
      </c>
      <c r="N72" s="21">
        <f>N37*Inputs!$D$40</f>
        <v/>
      </c>
      <c r="O72" s="21">
        <f>O37*Inputs!$D$40</f>
        <v/>
      </c>
      <c r="P72" s="21">
        <f>P37*Inputs!$D$40</f>
        <v/>
      </c>
      <c r="Q72" s="21">
        <f>Q37*Inputs!$D$40</f>
        <v/>
      </c>
      <c r="R72" s="21">
        <f>R37*Inputs!$D$40</f>
        <v/>
      </c>
      <c r="S72" s="21">
        <f>S37*Inputs!$D$40</f>
        <v/>
      </c>
      <c r="T72" s="21">
        <f>T37*Inputs!$D$40</f>
        <v/>
      </c>
      <c r="U72" s="21">
        <f>U37*Inputs!$D$40</f>
        <v/>
      </c>
      <c r="V72" s="21">
        <f>V37*Inputs!$D$40</f>
        <v/>
      </c>
      <c r="W72" s="21">
        <f>W37*Inputs!$D$40</f>
        <v/>
      </c>
      <c r="X72" s="21">
        <f>X37*Inputs!$D$40</f>
        <v/>
      </c>
      <c r="Y72" s="21">
        <f>Y37*Inputs!$D$40</f>
        <v/>
      </c>
      <c r="Z72" s="21">
        <f>Z37*Inputs!$D$40</f>
        <v/>
      </c>
      <c r="AA72" s="21">
        <f>AA37*Inputs!$D$40</f>
        <v/>
      </c>
    </row>
    <row r="73">
      <c r="A73" t="inlineStr">
        <is>
          <t>Cash release Y2</t>
        </is>
      </c>
      <c r="B73" s="21">
        <f>B37*(Inputs!$D$41-Inputs!$D$40)</f>
        <v/>
      </c>
      <c r="C73" s="21">
        <f>C37*(Inputs!$D$41-Inputs!$D$40)</f>
        <v/>
      </c>
      <c r="D73" s="21">
        <f>D37*(Inputs!$D$41-Inputs!$D$40)</f>
        <v/>
      </c>
      <c r="E73" s="21">
        <f>E37*(Inputs!$D$41-Inputs!$D$40)</f>
        <v/>
      </c>
      <c r="F73" s="21">
        <f>F37*(Inputs!$D$41-Inputs!$D$40)</f>
        <v/>
      </c>
      <c r="G73" s="21">
        <f>G37*(Inputs!$D$41-Inputs!$D$40)</f>
        <v/>
      </c>
      <c r="H73" s="21">
        <f>H37*(Inputs!$C$41-Inputs!$C$40)</f>
        <v/>
      </c>
      <c r="I73" s="21">
        <f>I37*(Inputs!$E$41-Inputs!$E$40)</f>
        <v/>
      </c>
      <c r="J73" s="21">
        <f>J37*(Inputs!$D$41-Inputs!$D$40)</f>
        <v/>
      </c>
      <c r="K73" s="21">
        <f>K37*(Inputs!$D$41-Inputs!$D$40)</f>
        <v/>
      </c>
      <c r="L73" s="21">
        <f>L37*(Inputs!$D$41-Inputs!$D$40)</f>
        <v/>
      </c>
      <c r="M73" s="21">
        <f>M37*(Inputs!$D$41-Inputs!$D$40)</f>
        <v/>
      </c>
      <c r="N73" s="21">
        <f>N37*(Inputs!$D$41-Inputs!$D$40)</f>
        <v/>
      </c>
      <c r="O73" s="21">
        <f>O37*(Inputs!$D$41-Inputs!$D$40)</f>
        <v/>
      </c>
      <c r="P73" s="21">
        <f>P37*(Inputs!$D$41-Inputs!$D$40)</f>
        <v/>
      </c>
      <c r="Q73" s="21">
        <f>Q37*(Inputs!$D$41-Inputs!$D$40)</f>
        <v/>
      </c>
      <c r="R73" s="21">
        <f>R37*(Inputs!$D$41-Inputs!$D$40)</f>
        <v/>
      </c>
      <c r="S73" s="21">
        <f>S37*(Inputs!$D$41-Inputs!$D$40)</f>
        <v/>
      </c>
      <c r="T73" s="21">
        <f>T37*(Inputs!$D$41-Inputs!$D$40)</f>
        <v/>
      </c>
      <c r="U73" s="21">
        <f>U37*(Inputs!$D$41-Inputs!$D$40)</f>
        <v/>
      </c>
      <c r="V73" s="21">
        <f>V37*(Inputs!$D$41-Inputs!$D$40)</f>
        <v/>
      </c>
      <c r="W73" s="21">
        <f>W37*(Inputs!$D$41-Inputs!$D$40)</f>
        <v/>
      </c>
      <c r="X73" s="21">
        <f>X37*(Inputs!$D$41-Inputs!$D$40)</f>
        <v/>
      </c>
      <c r="Y73" s="21">
        <f>Y37*(Inputs!$D$41-Inputs!$D$40)</f>
        <v/>
      </c>
      <c r="Z73" s="21">
        <f>Z37*(Inputs!$D$41-Inputs!$D$40)</f>
        <v/>
      </c>
      <c r="AA73" s="21">
        <f>AA37*(Inputs!$D$41-Inputs!$D$40)</f>
        <v/>
      </c>
    </row>
    <row r="74">
      <c r="A74" t="inlineStr">
        <is>
          <t>Cash release Y3</t>
        </is>
      </c>
      <c r="B74" s="21">
        <f>B37*(Inputs!$D$42-Inputs!$D$41)</f>
        <v/>
      </c>
      <c r="C74" s="21">
        <f>C37*(Inputs!$D$42-Inputs!$D$41)</f>
        <v/>
      </c>
      <c r="D74" s="21">
        <f>D37*(Inputs!$D$42-Inputs!$D$41)</f>
        <v/>
      </c>
      <c r="E74" s="21">
        <f>E37*(Inputs!$D$42-Inputs!$D$41)</f>
        <v/>
      </c>
      <c r="F74" s="21">
        <f>F37*(Inputs!$D$42-Inputs!$D$41)</f>
        <v/>
      </c>
      <c r="G74" s="21">
        <f>G37*(Inputs!$D$42-Inputs!$D$41)</f>
        <v/>
      </c>
      <c r="H74" s="21">
        <f>H37*(Inputs!$C$42-Inputs!$C$41)</f>
        <v/>
      </c>
      <c r="I74" s="21">
        <f>I37*(Inputs!$E$42-Inputs!$E$41)</f>
        <v/>
      </c>
      <c r="J74" s="21">
        <f>J37*(Inputs!$D$42-Inputs!$D$41)</f>
        <v/>
      </c>
      <c r="K74" s="21">
        <f>K37*(Inputs!$D$42-Inputs!$D$41)</f>
        <v/>
      </c>
      <c r="L74" s="21">
        <f>L37*(Inputs!$D$42-Inputs!$D$41)</f>
        <v/>
      </c>
      <c r="M74" s="21">
        <f>M37*(Inputs!$D$42-Inputs!$D$41)</f>
        <v/>
      </c>
      <c r="N74" s="21">
        <f>N37*(Inputs!$D$42-Inputs!$D$41)</f>
        <v/>
      </c>
      <c r="O74" s="21">
        <f>O37*(Inputs!$D$42-Inputs!$D$41)</f>
        <v/>
      </c>
      <c r="P74" s="21">
        <f>P37*(Inputs!$D$42-Inputs!$D$41)</f>
        <v/>
      </c>
      <c r="Q74" s="21">
        <f>Q37*(Inputs!$D$42-Inputs!$D$41)</f>
        <v/>
      </c>
      <c r="R74" s="21">
        <f>R37*(Inputs!$D$42-Inputs!$D$41)</f>
        <v/>
      </c>
      <c r="S74" s="21">
        <f>S37*(Inputs!$D$42-Inputs!$D$41)</f>
        <v/>
      </c>
      <c r="T74" s="21">
        <f>T37*(Inputs!$D$42-Inputs!$D$41)</f>
        <v/>
      </c>
      <c r="U74" s="21">
        <f>U37*(Inputs!$D$42-Inputs!$D$41)</f>
        <v/>
      </c>
      <c r="V74" s="21">
        <f>V37*(Inputs!$D$42-Inputs!$D$41)</f>
        <v/>
      </c>
      <c r="W74" s="21">
        <f>W37*(Inputs!$D$42-Inputs!$D$41)</f>
        <v/>
      </c>
      <c r="X74" s="21">
        <f>X37*(Inputs!$D$42-Inputs!$D$41)</f>
        <v/>
      </c>
      <c r="Y74" s="21">
        <f>Y37*(Inputs!$D$42-Inputs!$D$41)</f>
        <v/>
      </c>
      <c r="Z74" s="21">
        <f>Z37*(Inputs!$D$42-Inputs!$D$41)</f>
        <v/>
      </c>
      <c r="AA74" s="21">
        <f>AA37*(Inputs!$D$42-Inputs!$D$41)</f>
        <v/>
      </c>
    </row>
    <row r="75">
      <c r="A75" t="inlineStr">
        <is>
          <t>3-year NPV incl one-off cash release</t>
        </is>
      </c>
      <c r="B75" s="23">
        <f>B70+B72/(1+Inputs!$D$27)+B73/(1+Inputs!$D$27)^2+B74/(1+Inputs!$D$27)^3</f>
        <v/>
      </c>
      <c r="C75" s="23">
        <f>C70+C72/(1+Inputs!$D$27)+C73/(1+Inputs!$D$27)^2+C74/(1+Inputs!$D$27)^3</f>
        <v/>
      </c>
      <c r="D75" s="23">
        <f>D70+D72/(1+Inputs!$D$27)+D73/(1+Inputs!$D$27)^2+D74/(1+Inputs!$D$27)^3</f>
        <v/>
      </c>
      <c r="E75" s="23">
        <f>E70+E72/(1+Inputs!$D$27)+E73/(1+Inputs!$D$27)^2+E74/(1+Inputs!$D$27)^3</f>
        <v/>
      </c>
      <c r="F75" s="23">
        <f>F70+F72/(1+Inputs!$D$27)+F73/(1+Inputs!$D$27)^2+F74/(1+Inputs!$D$27)^3</f>
        <v/>
      </c>
      <c r="G75" s="23">
        <f>G70+G72/(1+Inputs!$D$27)+G73/(1+Inputs!$D$27)^2+G74/(1+Inputs!$D$27)^3</f>
        <v/>
      </c>
      <c r="H75" s="23">
        <f>H70+H72/(1+Inputs!$D$27)+H73/(1+Inputs!$D$27)^2+H74/(1+Inputs!$D$27)^3</f>
        <v/>
      </c>
      <c r="I75" s="23">
        <f>I70+I72/(1+Inputs!$D$27)+I73/(1+Inputs!$D$27)^2+I74/(1+Inputs!$D$27)^3</f>
        <v/>
      </c>
      <c r="J75" s="23">
        <f>J70+J72/(1+Inputs!$D$27)+J73/(1+Inputs!$D$27)^2+J74/(1+Inputs!$D$27)^3</f>
        <v/>
      </c>
      <c r="K75" s="23">
        <f>K70+K72/(1+Inputs!$D$27)+K73/(1+Inputs!$D$27)^2+K74/(1+Inputs!$D$27)^3</f>
        <v/>
      </c>
      <c r="L75" s="23">
        <f>L70+L72/(1+Inputs!$D$27)+L73/(1+Inputs!$D$27)^2+L74/(1+Inputs!$D$27)^3</f>
        <v/>
      </c>
      <c r="M75" s="23">
        <f>M70+M72/(1+Inputs!$D$27)+M73/(1+Inputs!$D$27)^2+M74/(1+Inputs!$D$27)^3</f>
        <v/>
      </c>
      <c r="N75" s="23">
        <f>N70+N72/(1+Inputs!$D$27)+N73/(1+Inputs!$D$27)^2+N74/(1+Inputs!$D$27)^3</f>
        <v/>
      </c>
      <c r="O75" s="23">
        <f>O70+O72/(1+Inputs!$D$27)+O73/(1+Inputs!$D$27)^2+O74/(1+Inputs!$D$27)^3</f>
        <v/>
      </c>
      <c r="P75" s="23">
        <f>P70+P72/(1+Inputs!$D$27)+P73/(1+Inputs!$D$27)^2+P74/(1+Inputs!$D$27)^3</f>
        <v/>
      </c>
      <c r="Q75" s="23">
        <f>Q70+Q72/(1+Inputs!$D$27)+Q73/(1+Inputs!$D$27)^2+Q74/(1+Inputs!$D$27)^3</f>
        <v/>
      </c>
      <c r="R75" s="23">
        <f>R70+R72/(1+Inputs!$D$27)+R73/(1+Inputs!$D$27)^2+R74/(1+Inputs!$D$27)^3</f>
        <v/>
      </c>
      <c r="S75" s="23">
        <f>S70+S72/(1+Inputs!$D$27)+S73/(1+Inputs!$D$27)^2+S74/(1+Inputs!$D$27)^3</f>
        <v/>
      </c>
      <c r="T75" s="23">
        <f>T70+T72/(1+Inputs!$D$27)+T73/(1+Inputs!$D$27)^2+T74/(1+Inputs!$D$27)^3</f>
        <v/>
      </c>
      <c r="U75" s="23">
        <f>U70+U72/(1+Inputs!$D$27)+U73/(1+Inputs!$D$27)^2+U74/(1+Inputs!$D$27)^3</f>
        <v/>
      </c>
      <c r="V75" s="23">
        <f>V70+V72/(1+Inputs!$D$27)+V73/(1+Inputs!$D$27)^2+V74/(1+Inputs!$D$27)^3</f>
        <v/>
      </c>
      <c r="W75" s="23">
        <f>W70+W72/(1+Inputs!$D$27)+W73/(1+Inputs!$D$27)^2+W74/(1+Inputs!$D$27)^3</f>
        <v/>
      </c>
      <c r="X75" s="23">
        <f>X70+X72/(1+Inputs!$D$27)+X73/(1+Inputs!$D$27)^2+X74/(1+Inputs!$D$27)^3</f>
        <v/>
      </c>
      <c r="Y75" s="23">
        <f>Y70+Y72/(1+Inputs!$D$27)+Y73/(1+Inputs!$D$27)^2+Y74/(1+Inputs!$D$27)^3</f>
        <v/>
      </c>
      <c r="Z75" s="23">
        <f>Z70+Z72/(1+Inputs!$D$27)+Z73/(1+Inputs!$D$27)^2+Z74/(1+Inputs!$D$27)^3</f>
        <v/>
      </c>
      <c r="AA75" s="23">
        <f>AA70+AA72/(1+Inputs!$D$27)+AA73/(1+Inputs!$D$27)^2+AA74/(1+Inputs!$D$27)^3</f>
        <v/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Per-brand view - base-case annual benefit at full adoption, split by brand</t>
        </is>
      </c>
    </row>
    <row r="2" ht="45" customHeight="1">
      <c r="A2" s="2" t="inlineStr">
        <is>
          <t>Brand data (blue) from 03 summary and stock-out tables. Split keys: (a) softline by stock-out proxy USD/day, hardline by gross revenue; (b) by stock value; (c) by net revenue; (d) by Namshi size or fit returns; (e) by gross revenue. The overlap haircut is applied per brand. Totals tie to Levers base.</t>
        </is>
      </c>
    </row>
    <row r="4">
      <c r="A4" s="26" t="inlineStr">
        <is>
          <t>Brand</t>
        </is>
      </c>
      <c r="B4" s="26" t="inlineStr">
        <is>
          <t>Segment</t>
        </is>
      </c>
      <c r="C4" s="26" t="inlineStr">
        <is>
          <t>Gross USD (03)</t>
        </is>
      </c>
      <c r="D4" s="26" t="inlineStr">
        <is>
          <t>Net USD (03)</t>
        </is>
      </c>
      <c r="E4" s="26" t="inlineStr">
        <is>
          <t>Stock at ASP (03)</t>
        </is>
      </c>
      <c r="F4" s="26" t="inlineStr">
        <is>
          <t>Stock-out proxy USD/day (03)</t>
        </is>
      </c>
      <c r="G4" s="26" t="inlineStr">
        <is>
          <t>Size/fit returns USD (03)</t>
        </is>
      </c>
      <c r="H4" s="26" t="inlineStr">
        <is>
          <t>(a)</t>
        </is>
      </c>
      <c r="I4" s="26" t="inlineStr">
        <is>
          <t>(b)</t>
        </is>
      </c>
      <c r="J4" s="26" t="inlineStr">
        <is>
          <t>(c)</t>
        </is>
      </c>
      <c r="K4" s="26" t="inlineStr">
        <is>
          <t>(d)</t>
        </is>
      </c>
      <c r="L4" s="26" t="inlineStr">
        <is>
          <t>(e)</t>
        </is>
      </c>
      <c r="M4" s="26" t="inlineStr">
        <is>
          <t>Overlap</t>
        </is>
      </c>
      <c r="N4" s="26" t="inlineStr">
        <is>
          <t>Total benefit</t>
        </is>
      </c>
      <c r="O4" s="26" t="inlineStr">
        <is>
          <t>Share of total</t>
        </is>
      </c>
      <c r="P4" s="26" t="inlineStr">
        <is>
          <t>Benefit % of brand gross</t>
        </is>
      </c>
    </row>
    <row r="5">
      <c r="A5" t="inlineStr">
        <is>
          <t>U.S. Polo Assn.</t>
        </is>
      </c>
      <c r="B5" t="inlineStr">
        <is>
          <t>Soft</t>
        </is>
      </c>
      <c r="C5" s="7" t="n">
        <v>6120000</v>
      </c>
      <c r="D5" s="7" t="n">
        <v>5320000</v>
      </c>
      <c r="E5" s="7" t="n">
        <v>1650000</v>
      </c>
      <c r="F5" s="7" t="n">
        <v>3276</v>
      </c>
      <c r="G5" s="7" t="n">
        <v>388000</v>
      </c>
      <c r="H5" s="21">
        <f>Levers!$D$16*(Levers!$D$10/Levers!$D$12)*F5/SUMIF($B$5:$B$22,"Soft",$F$5:$F$22)</f>
        <v/>
      </c>
      <c r="I5" s="21">
        <f>Levers!$D$20*E5/$E$23</f>
        <v/>
      </c>
      <c r="J5" s="21">
        <f>Levers!$D$24*D5/$D$23</f>
        <v/>
      </c>
      <c r="K5" s="21">
        <f>Levers!$D$27*G5/$G$23</f>
        <v/>
      </c>
      <c r="L5" s="21">
        <f>Levers!$D$29*C5/$C$23</f>
        <v/>
      </c>
      <c r="M5" s="21">
        <f>-(H5+I5+J5)*Inputs!$D$43</f>
        <v/>
      </c>
      <c r="N5" s="21">
        <f>SUM(H5:M5)</f>
        <v/>
      </c>
      <c r="O5" s="10">
        <f>N5/$N$23</f>
        <v/>
      </c>
      <c r="P5" s="33">
        <f>IF(C5&gt;0,N5/C5,0)</f>
        <v/>
      </c>
    </row>
    <row r="6">
      <c r="A6" t="inlineStr">
        <is>
          <t>French Connection</t>
        </is>
      </c>
      <c r="B6" t="inlineStr">
        <is>
          <t>Soft</t>
        </is>
      </c>
      <c r="C6" s="7" t="n">
        <v>681000</v>
      </c>
      <c r="D6" s="7" t="n">
        <v>467000</v>
      </c>
      <c r="E6" s="7" t="n">
        <v>789000</v>
      </c>
      <c r="F6" s="7" t="n">
        <v>879</v>
      </c>
      <c r="G6" s="7" t="n">
        <v>127000</v>
      </c>
      <c r="H6" s="21">
        <f>Levers!$D$16*(Levers!$D$10/Levers!$D$12)*F6/SUMIF($B$5:$B$22,"Soft",$F$5:$F$22)</f>
        <v/>
      </c>
      <c r="I6" s="21">
        <f>Levers!$D$20*E6/$E$23</f>
        <v/>
      </c>
      <c r="J6" s="21">
        <f>Levers!$D$24*D6/$D$23</f>
        <v/>
      </c>
      <c r="K6" s="21">
        <f>Levers!$D$27*G6/$G$23</f>
        <v/>
      </c>
      <c r="L6" s="21">
        <f>Levers!$D$29*C6/$C$23</f>
        <v/>
      </c>
      <c r="M6" s="21">
        <f>-(H6+I6+J6)*Inputs!$D$43</f>
        <v/>
      </c>
      <c r="N6" s="21">
        <f>SUM(H6:M6)</f>
        <v/>
      </c>
      <c r="O6" s="10">
        <f>N6/$N$23</f>
        <v/>
      </c>
      <c r="P6" s="33">
        <f>IF(C6&gt;0,N6/C6,0)</f>
        <v/>
      </c>
    </row>
    <row r="7">
      <c r="A7" t="inlineStr">
        <is>
          <t>Campus</t>
        </is>
      </c>
      <c r="B7" t="inlineStr">
        <is>
          <t>Soft</t>
        </is>
      </c>
      <c r="C7" s="7" t="n">
        <v>668000</v>
      </c>
      <c r="D7" s="7" t="n">
        <v>542000</v>
      </c>
      <c r="E7" s="7" t="n">
        <v>430000</v>
      </c>
      <c r="F7" s="7" t="n">
        <v>786</v>
      </c>
      <c r="G7" s="7" t="n">
        <v>68000</v>
      </c>
      <c r="H7" s="21">
        <f>Levers!$D$16*(Levers!$D$10/Levers!$D$12)*F7/SUMIF($B$5:$B$22,"Soft",$F$5:$F$22)</f>
        <v/>
      </c>
      <c r="I7" s="21">
        <f>Levers!$D$20*E7/$E$23</f>
        <v/>
      </c>
      <c r="J7" s="21">
        <f>Levers!$D$24*D7/$D$23</f>
        <v/>
      </c>
      <c r="K7" s="21">
        <f>Levers!$D$27*G7/$G$23</f>
        <v/>
      </c>
      <c r="L7" s="21">
        <f>Levers!$D$29*C7/$C$23</f>
        <v/>
      </c>
      <c r="M7" s="21">
        <f>-(H7+I7+J7)*Inputs!$D$43</f>
        <v/>
      </c>
      <c r="N7" s="21">
        <f>SUM(H7:M7)</f>
        <v/>
      </c>
      <c r="O7" s="10">
        <f>N7/$N$23</f>
        <v/>
      </c>
      <c r="P7" s="33">
        <f>IF(C7&gt;0,N7/C7,0)</f>
        <v/>
      </c>
    </row>
    <row r="8">
      <c r="A8" t="inlineStr">
        <is>
          <t>Penti</t>
        </is>
      </c>
      <c r="B8" t="inlineStr">
        <is>
          <t>Soft</t>
        </is>
      </c>
      <c r="C8" s="7" t="n">
        <v>403000</v>
      </c>
      <c r="D8" s="7" t="n">
        <v>363000</v>
      </c>
      <c r="E8" s="7" t="n">
        <v>343000</v>
      </c>
      <c r="F8" s="7" t="n">
        <v>545</v>
      </c>
      <c r="G8" s="7" t="n">
        <v>19000</v>
      </c>
      <c r="H8" s="21">
        <f>Levers!$D$16*(Levers!$D$10/Levers!$D$12)*F8/SUMIF($B$5:$B$22,"Soft",$F$5:$F$22)</f>
        <v/>
      </c>
      <c r="I8" s="21">
        <f>Levers!$D$20*E8/$E$23</f>
        <v/>
      </c>
      <c r="J8" s="21">
        <f>Levers!$D$24*D8/$D$23</f>
        <v/>
      </c>
      <c r="K8" s="21">
        <f>Levers!$D$27*G8/$G$23</f>
        <v/>
      </c>
      <c r="L8" s="21">
        <f>Levers!$D$29*C8/$C$23</f>
        <v/>
      </c>
      <c r="M8" s="21">
        <f>-(H8+I8+J8)*Inputs!$D$43</f>
        <v/>
      </c>
      <c r="N8" s="21">
        <f>SUM(H8:M8)</f>
        <v/>
      </c>
      <c r="O8" s="10">
        <f>N8/$N$23</f>
        <v/>
      </c>
      <c r="P8" s="33">
        <f>IF(C8&gt;0,N8/C8,0)</f>
        <v/>
      </c>
    </row>
    <row r="9">
      <c r="A9" t="inlineStr">
        <is>
          <t>Keds</t>
        </is>
      </c>
      <c r="B9" t="inlineStr">
        <is>
          <t>Soft</t>
        </is>
      </c>
      <c r="C9" s="7" t="n">
        <v>138000</v>
      </c>
      <c r="D9" s="7" t="n">
        <v>96000</v>
      </c>
      <c r="E9" s="7" t="n">
        <v>500000</v>
      </c>
      <c r="F9" s="7" t="n">
        <v>336</v>
      </c>
      <c r="G9" s="7" t="n">
        <v>30000</v>
      </c>
      <c r="H9" s="21">
        <f>Levers!$D$16*(Levers!$D$10/Levers!$D$12)*F9/SUMIF($B$5:$B$22,"Soft",$F$5:$F$22)</f>
        <v/>
      </c>
      <c r="I9" s="21">
        <f>Levers!$D$20*E9/$E$23</f>
        <v/>
      </c>
      <c r="J9" s="21">
        <f>Levers!$D$24*D9/$D$23</f>
        <v/>
      </c>
      <c r="K9" s="21">
        <f>Levers!$D$27*G9/$G$23</f>
        <v/>
      </c>
      <c r="L9" s="21">
        <f>Levers!$D$29*C9/$C$23</f>
        <v/>
      </c>
      <c r="M9" s="21">
        <f>-(H9+I9+J9)*Inputs!$D$43</f>
        <v/>
      </c>
      <c r="N9" s="21">
        <f>SUM(H9:M9)</f>
        <v/>
      </c>
      <c r="O9" s="10">
        <f>N9/$N$23</f>
        <v/>
      </c>
      <c r="P9" s="33">
        <f>IF(C9&gt;0,N9/C9,0)</f>
        <v/>
      </c>
    </row>
    <row r="10">
      <c r="A10" t="inlineStr">
        <is>
          <t>Vero Moda</t>
        </is>
      </c>
      <c r="B10" t="inlineStr">
        <is>
          <t>Soft</t>
        </is>
      </c>
      <c r="C10" s="7" t="n">
        <v>138000</v>
      </c>
      <c r="D10" s="7" t="n">
        <v>89000</v>
      </c>
      <c r="E10" s="7" t="n">
        <v>197000</v>
      </c>
      <c r="F10" s="7" t="n">
        <v>217</v>
      </c>
      <c r="G10" s="7" t="n">
        <v>24000</v>
      </c>
      <c r="H10" s="21">
        <f>Levers!$D$16*(Levers!$D$10/Levers!$D$12)*F10/SUMIF($B$5:$B$22,"Soft",$F$5:$F$22)</f>
        <v/>
      </c>
      <c r="I10" s="21">
        <f>Levers!$D$20*E10/$E$23</f>
        <v/>
      </c>
      <c r="J10" s="21">
        <f>Levers!$D$24*D10/$D$23</f>
        <v/>
      </c>
      <c r="K10" s="21">
        <f>Levers!$D$27*G10/$G$23</f>
        <v/>
      </c>
      <c r="L10" s="21">
        <f>Levers!$D$29*C10/$C$23</f>
        <v/>
      </c>
      <c r="M10" s="21">
        <f>-(H10+I10+J10)*Inputs!$D$43</f>
        <v/>
      </c>
      <c r="N10" s="21">
        <f>SUM(H10:M10)</f>
        <v/>
      </c>
      <c r="O10" s="10">
        <f>N10/$N$23</f>
        <v/>
      </c>
      <c r="P10" s="33">
        <f>IF(C10&gt;0,N10/C10,0)</f>
        <v/>
      </c>
    </row>
    <row r="11">
      <c r="A11" t="inlineStr">
        <is>
          <t>Puma</t>
        </is>
      </c>
      <c r="B11" t="inlineStr">
        <is>
          <t>Soft</t>
        </is>
      </c>
      <c r="C11" s="7" t="n">
        <v>109000</v>
      </c>
      <c r="D11" s="7" t="n">
        <v>99000</v>
      </c>
      <c r="E11" s="7" t="n">
        <v>154000</v>
      </c>
      <c r="F11" s="7" t="n">
        <v>400</v>
      </c>
      <c r="G11" s="7" t="n">
        <v>0</v>
      </c>
      <c r="H11" s="21">
        <f>Levers!$D$16*(Levers!$D$10/Levers!$D$12)*F11/SUMIF($B$5:$B$22,"Soft",$F$5:$F$22)</f>
        <v/>
      </c>
      <c r="I11" s="21">
        <f>Levers!$D$20*E11/$E$23</f>
        <v/>
      </c>
      <c r="J11" s="21">
        <f>Levers!$D$24*D11/$D$23</f>
        <v/>
      </c>
      <c r="K11" s="21">
        <f>Levers!$D$27*G11/$G$23</f>
        <v/>
      </c>
      <c r="L11" s="21">
        <f>Levers!$D$29*C11/$C$23</f>
        <v/>
      </c>
      <c r="M11" s="21">
        <f>-(H11+I11+J11)*Inputs!$D$43</f>
        <v/>
      </c>
      <c r="N11" s="21">
        <f>SUM(H11:M11)</f>
        <v/>
      </c>
      <c r="O11" s="10">
        <f>N11/$N$23</f>
        <v/>
      </c>
      <c r="P11" s="33">
        <f>IF(C11&gt;0,N11/C11,0)</f>
        <v/>
      </c>
    </row>
    <row r="12">
      <c r="A12" t="inlineStr">
        <is>
          <t>Nautica</t>
        </is>
      </c>
      <c r="B12" t="inlineStr">
        <is>
          <t>Soft</t>
        </is>
      </c>
      <c r="C12" s="7" t="n">
        <v>108000</v>
      </c>
      <c r="D12" s="7" t="n">
        <v>86000</v>
      </c>
      <c r="E12" s="7" t="n">
        <v>2000</v>
      </c>
      <c r="F12" s="7" t="n">
        <v>54</v>
      </c>
      <c r="G12" s="7" t="n">
        <v>14000</v>
      </c>
      <c r="H12" s="21">
        <f>Levers!$D$16*(Levers!$D$10/Levers!$D$12)*F12/SUMIF($B$5:$B$22,"Soft",$F$5:$F$22)</f>
        <v/>
      </c>
      <c r="I12" s="21">
        <f>Levers!$D$20*E12/$E$23</f>
        <v/>
      </c>
      <c r="J12" s="21">
        <f>Levers!$D$24*D12/$D$23</f>
        <v/>
      </c>
      <c r="K12" s="21">
        <f>Levers!$D$27*G12/$G$23</f>
        <v/>
      </c>
      <c r="L12" s="21">
        <f>Levers!$D$29*C12/$C$23</f>
        <v/>
      </c>
      <c r="M12" s="21">
        <f>-(H12+I12+J12)*Inputs!$D$43</f>
        <v/>
      </c>
      <c r="N12" s="21">
        <f>SUM(H12:M12)</f>
        <v/>
      </c>
      <c r="O12" s="10">
        <f>N12/$N$23</f>
        <v/>
      </c>
      <c r="P12" s="33">
        <f>IF(C12&gt;0,N12/C12,0)</f>
        <v/>
      </c>
    </row>
    <row r="13">
      <c r="A13" s="12" t="inlineStr">
        <is>
          <t>Cardio Bunny</t>
        </is>
      </c>
      <c r="B13" s="12" t="inlineStr">
        <is>
          <t>Soft</t>
        </is>
      </c>
      <c r="C13" s="34" t="n">
        <v>93000</v>
      </c>
      <c r="D13" s="34" t="n">
        <v>72000</v>
      </c>
      <c r="E13" s="34" t="n">
        <v>161000</v>
      </c>
      <c r="F13" s="34" t="n">
        <v>172</v>
      </c>
      <c r="G13" s="34" t="n">
        <v>14000</v>
      </c>
      <c r="H13" s="35">
        <f>Levers!$D$16*(Levers!$D$10/Levers!$D$12)*F13/SUMIF($B$5:$B$22,"Soft",$F$5:$F$22)</f>
        <v/>
      </c>
      <c r="I13" s="35">
        <f>Levers!$D$20*E13/$E$23</f>
        <v/>
      </c>
      <c r="J13" s="35">
        <f>Levers!$D$24*D13/$D$23</f>
        <v/>
      </c>
      <c r="K13" s="35">
        <f>Levers!$D$27*G13/$G$23</f>
        <v/>
      </c>
      <c r="L13" s="35">
        <f>Levers!$D$29*C13/$C$23</f>
        <v/>
      </c>
      <c r="M13" s="35">
        <f>-(H13+I13+J13)*Inputs!$D$43</f>
        <v/>
      </c>
      <c r="N13" s="35">
        <f>SUM(H13:M13)</f>
        <v/>
      </c>
      <c r="O13" s="36">
        <f>N13/$N$23</f>
        <v/>
      </c>
      <c r="P13" s="37">
        <f>IF(C13&gt;0,N13/C13,0)</f>
        <v/>
      </c>
    </row>
    <row r="14">
      <c r="A14" t="inlineStr">
        <is>
          <t>Nutricook</t>
        </is>
      </c>
      <c r="B14" t="inlineStr">
        <is>
          <t>Hard</t>
        </is>
      </c>
      <c r="C14" s="7" t="n">
        <v>1870000</v>
      </c>
      <c r="D14" s="7" t="n">
        <v>1870000</v>
      </c>
      <c r="E14" s="7" t="n">
        <v>534000</v>
      </c>
      <c r="F14" s="7" t="n">
        <v>0</v>
      </c>
      <c r="G14" s="7" t="n">
        <v>0</v>
      </c>
      <c r="H14" s="21">
        <f>Levers!$D$16*(1-(Levers!$D$10/Levers!$D$12))*C14/SUMIF($B$5:$B$22,"Hard",$C$5:$C$22)</f>
        <v/>
      </c>
      <c r="I14" s="21">
        <f>Levers!$D$20*E14/$E$23</f>
        <v/>
      </c>
      <c r="J14" s="21">
        <f>Levers!$D$24*D14/$D$23</f>
        <v/>
      </c>
      <c r="K14" s="21">
        <f>Levers!$D$27*G14/$G$23</f>
        <v/>
      </c>
      <c r="L14" s="21">
        <f>Levers!$D$29*C14/$C$23</f>
        <v/>
      </c>
      <c r="M14" s="21">
        <f>-(H14+I14+J14)*Inputs!$D$43</f>
        <v/>
      </c>
      <c r="N14" s="21">
        <f>SUM(H14:M14)</f>
        <v/>
      </c>
      <c r="O14" s="10">
        <f>N14/$N$23</f>
        <v/>
      </c>
      <c r="P14" s="33">
        <f>IF(C14&gt;0,N14/C14,0)</f>
        <v/>
      </c>
    </row>
    <row r="15">
      <c r="A15" t="inlineStr">
        <is>
          <t>GTPlayer</t>
        </is>
      </c>
      <c r="B15" t="inlineStr">
        <is>
          <t>Hard</t>
        </is>
      </c>
      <c r="C15" s="7" t="n">
        <v>1520000</v>
      </c>
      <c r="D15" s="7" t="n">
        <v>1510000</v>
      </c>
      <c r="E15" s="7" t="n">
        <v>278000</v>
      </c>
      <c r="F15" s="7" t="n">
        <v>0</v>
      </c>
      <c r="G15" s="7" t="n">
        <v>0</v>
      </c>
      <c r="H15" s="21">
        <f>Levers!$D$16*(1-(Levers!$D$10/Levers!$D$12))*C15/SUMIF($B$5:$B$22,"Hard",$C$5:$C$22)</f>
        <v/>
      </c>
      <c r="I15" s="21">
        <f>Levers!$D$20*E15/$E$23</f>
        <v/>
      </c>
      <c r="J15" s="21">
        <f>Levers!$D$24*D15/$D$23</f>
        <v/>
      </c>
      <c r="K15" s="21">
        <f>Levers!$D$27*G15/$G$23</f>
        <v/>
      </c>
      <c r="L15" s="21">
        <f>Levers!$D$29*C15/$C$23</f>
        <v/>
      </c>
      <c r="M15" s="21">
        <f>-(H15+I15+J15)*Inputs!$D$43</f>
        <v/>
      </c>
      <c r="N15" s="21">
        <f>SUM(H15:M15)</f>
        <v/>
      </c>
      <c r="O15" s="10">
        <f>N15/$N$23</f>
        <v/>
      </c>
      <c r="P15" s="33">
        <f>IF(C15&gt;0,N15/C15,0)</f>
        <v/>
      </c>
    </row>
    <row r="16">
      <c r="A16" t="inlineStr">
        <is>
          <t>NutriBullet</t>
        </is>
      </c>
      <c r="B16" t="inlineStr">
        <is>
          <t>Hard</t>
        </is>
      </c>
      <c r="C16" s="7" t="n">
        <v>574000</v>
      </c>
      <c r="D16" s="7" t="n">
        <v>574000</v>
      </c>
      <c r="E16" s="7" t="n">
        <v>353000</v>
      </c>
      <c r="F16" s="7" t="n">
        <v>0</v>
      </c>
      <c r="G16" s="7" t="n">
        <v>0</v>
      </c>
      <c r="H16" s="21">
        <f>Levers!$D$16*(1-(Levers!$D$10/Levers!$D$12))*C16/SUMIF($B$5:$B$22,"Hard",$C$5:$C$22)</f>
        <v/>
      </c>
      <c r="I16" s="21">
        <f>Levers!$D$20*E16/$E$23</f>
        <v/>
      </c>
      <c r="J16" s="21">
        <f>Levers!$D$24*D16/$D$23</f>
        <v/>
      </c>
      <c r="K16" s="21">
        <f>Levers!$D$27*G16/$G$23</f>
        <v/>
      </c>
      <c r="L16" s="21">
        <f>Levers!$D$29*C16/$C$23</f>
        <v/>
      </c>
      <c r="M16" s="21">
        <f>-(H16+I16+J16)*Inputs!$D$43</f>
        <v/>
      </c>
      <c r="N16" s="21">
        <f>SUM(H16:M16)</f>
        <v/>
      </c>
      <c r="O16" s="10">
        <f>N16/$N$23</f>
        <v/>
      </c>
      <c r="P16" s="33">
        <f>IF(C16&gt;0,N16/C16,0)</f>
        <v/>
      </c>
    </row>
    <row r="17">
      <c r="A17" t="inlineStr">
        <is>
          <t>Carote</t>
        </is>
      </c>
      <c r="B17" t="inlineStr">
        <is>
          <t>Hard</t>
        </is>
      </c>
      <c r="C17" s="7" t="n">
        <v>572000</v>
      </c>
      <c r="D17" s="7" t="n">
        <v>557000</v>
      </c>
      <c r="E17" s="7" t="n">
        <v>644000</v>
      </c>
      <c r="F17" s="7" t="n">
        <v>0</v>
      </c>
      <c r="G17" s="7" t="n">
        <v>0</v>
      </c>
      <c r="H17" s="21">
        <f>Levers!$D$16*(1-(Levers!$D$10/Levers!$D$12))*C17/SUMIF($B$5:$B$22,"Hard",$C$5:$C$22)</f>
        <v/>
      </c>
      <c r="I17" s="21">
        <f>Levers!$D$20*E17/$E$23</f>
        <v/>
      </c>
      <c r="J17" s="21">
        <f>Levers!$D$24*D17/$D$23</f>
        <v/>
      </c>
      <c r="K17" s="21">
        <f>Levers!$D$27*G17/$G$23</f>
        <v/>
      </c>
      <c r="L17" s="21">
        <f>Levers!$D$29*C17/$C$23</f>
        <v/>
      </c>
      <c r="M17" s="21">
        <f>-(H17+I17+J17)*Inputs!$D$43</f>
        <v/>
      </c>
      <c r="N17" s="21">
        <f>SUM(H17:M17)</f>
        <v/>
      </c>
      <c r="O17" s="10">
        <f>N17/$N$23</f>
        <v/>
      </c>
      <c r="P17" s="33">
        <f>IF(C17&gt;0,N17/C17,0)</f>
        <v/>
      </c>
    </row>
    <row r="18">
      <c r="A18" t="inlineStr">
        <is>
          <t>Bergner</t>
        </is>
      </c>
      <c r="B18" t="inlineStr">
        <is>
          <t>Hard</t>
        </is>
      </c>
      <c r="C18" s="7" t="n">
        <v>259000</v>
      </c>
      <c r="D18" s="7" t="n">
        <v>255000</v>
      </c>
      <c r="E18" s="7" t="n">
        <v>333000</v>
      </c>
      <c r="F18" s="7" t="n">
        <v>0</v>
      </c>
      <c r="G18" s="7" t="n">
        <v>0</v>
      </c>
      <c r="H18" s="21">
        <f>Levers!$D$16*(1-(Levers!$D$10/Levers!$D$12))*C18/SUMIF($B$5:$B$22,"Hard",$C$5:$C$22)</f>
        <v/>
      </c>
      <c r="I18" s="21">
        <f>Levers!$D$20*E18/$E$23</f>
        <v/>
      </c>
      <c r="J18" s="21">
        <f>Levers!$D$24*D18/$D$23</f>
        <v/>
      </c>
      <c r="K18" s="21">
        <f>Levers!$D$27*G18/$G$23</f>
        <v/>
      </c>
      <c r="L18" s="21">
        <f>Levers!$D$29*C18/$C$23</f>
        <v/>
      </c>
      <c r="M18" s="21">
        <f>-(H18+I18+J18)*Inputs!$D$43</f>
        <v/>
      </c>
      <c r="N18" s="21">
        <f>SUM(H18:M18)</f>
        <v/>
      </c>
      <c r="O18" s="10">
        <f>N18/$N$23</f>
        <v/>
      </c>
      <c r="P18" s="33">
        <f>IF(C18&gt;0,N18/C18,0)</f>
        <v/>
      </c>
    </row>
    <row r="19">
      <c r="A19" t="inlineStr">
        <is>
          <t>Dowinx</t>
        </is>
      </c>
      <c r="B19" t="inlineStr">
        <is>
          <t>Hard</t>
        </is>
      </c>
      <c r="C19" s="7" t="n">
        <v>108000</v>
      </c>
      <c r="D19" s="7" t="n">
        <v>108000</v>
      </c>
      <c r="E19" s="7" t="n">
        <v>0</v>
      </c>
      <c r="F19" s="7" t="n">
        <v>0</v>
      </c>
      <c r="G19" s="7" t="n">
        <v>0</v>
      </c>
      <c r="H19" s="21">
        <f>Levers!$D$16*(1-(Levers!$D$10/Levers!$D$12))*C19/SUMIF($B$5:$B$22,"Hard",$C$5:$C$22)</f>
        <v/>
      </c>
      <c r="I19" s="21">
        <f>Levers!$D$20*E19/$E$23</f>
        <v/>
      </c>
      <c r="J19" s="21">
        <f>Levers!$D$24*D19/$D$23</f>
        <v/>
      </c>
      <c r="K19" s="21">
        <f>Levers!$D$27*G19/$G$23</f>
        <v/>
      </c>
      <c r="L19" s="21">
        <f>Levers!$D$29*C19/$C$23</f>
        <v/>
      </c>
      <c r="M19" s="21">
        <f>-(H19+I19+J19)*Inputs!$D$43</f>
        <v/>
      </c>
      <c r="N19" s="21">
        <f>SUM(H19:M19)</f>
        <v/>
      </c>
      <c r="O19" s="10">
        <f>N19/$N$23</f>
        <v/>
      </c>
      <c r="P19" s="33">
        <f>IF(C19&gt;0,N19/C19,0)</f>
        <v/>
      </c>
    </row>
    <row r="20">
      <c r="A20" t="inlineStr">
        <is>
          <t>Tower</t>
        </is>
      </c>
      <c r="B20" t="inlineStr">
        <is>
          <t>Hard</t>
        </is>
      </c>
      <c r="C20" s="7" t="n">
        <v>17000</v>
      </c>
      <c r="D20" s="7" t="n">
        <v>17000</v>
      </c>
      <c r="E20" s="7" t="n">
        <v>51000</v>
      </c>
      <c r="F20" s="7" t="n">
        <v>0</v>
      </c>
      <c r="G20" s="7" t="n">
        <v>0</v>
      </c>
      <c r="H20" s="21">
        <f>Levers!$D$16*(1-(Levers!$D$10/Levers!$D$12))*C20/SUMIF($B$5:$B$22,"Hard",$C$5:$C$22)</f>
        <v/>
      </c>
      <c r="I20" s="21">
        <f>Levers!$D$20*E20/$E$23</f>
        <v/>
      </c>
      <c r="J20" s="21">
        <f>Levers!$D$24*D20/$D$23</f>
        <v/>
      </c>
      <c r="K20" s="21">
        <f>Levers!$D$27*G20/$G$23</f>
        <v/>
      </c>
      <c r="L20" s="21">
        <f>Levers!$D$29*C20/$C$23</f>
        <v/>
      </c>
      <c r="M20" s="21">
        <f>-(H20+I20+J20)*Inputs!$D$43</f>
        <v/>
      </c>
      <c r="N20" s="21">
        <f>SUM(H20:M20)</f>
        <v/>
      </c>
      <c r="O20" s="10">
        <f>N20/$N$23</f>
        <v/>
      </c>
      <c r="P20" s="33">
        <f>IF(C20&gt;0,N20/C20,0)</f>
        <v/>
      </c>
    </row>
    <row r="21">
      <c r="A21" t="inlineStr">
        <is>
          <t>Qubo</t>
        </is>
      </c>
      <c r="B21" t="inlineStr">
        <is>
          <t>Hard</t>
        </is>
      </c>
      <c r="C21" s="7" t="n">
        <v>8000</v>
      </c>
      <c r="D21" s="7" t="n">
        <v>8000</v>
      </c>
      <c r="E21" s="7" t="n">
        <v>47000</v>
      </c>
      <c r="F21" s="7" t="n">
        <v>0</v>
      </c>
      <c r="G21" s="7" t="n">
        <v>0</v>
      </c>
      <c r="H21" s="21">
        <f>Levers!$D$16*(1-(Levers!$D$10/Levers!$D$12))*C21/SUMIF($B$5:$B$22,"Hard",$C$5:$C$22)</f>
        <v/>
      </c>
      <c r="I21" s="21">
        <f>Levers!$D$20*E21/$E$23</f>
        <v/>
      </c>
      <c r="J21" s="21">
        <f>Levers!$D$24*D21/$D$23</f>
        <v/>
      </c>
      <c r="K21" s="21">
        <f>Levers!$D$27*G21/$G$23</f>
        <v/>
      </c>
      <c r="L21" s="21">
        <f>Levers!$D$29*C21/$C$23</f>
        <v/>
      </c>
      <c r="M21" s="21">
        <f>-(H21+I21+J21)*Inputs!$D$43</f>
        <v/>
      </c>
      <c r="N21" s="21">
        <f>SUM(H21:M21)</f>
        <v/>
      </c>
      <c r="O21" s="10">
        <f>N21/$N$23</f>
        <v/>
      </c>
      <c r="P21" s="33">
        <f>IF(C21&gt;0,N21/C21,0)</f>
        <v/>
      </c>
    </row>
    <row r="22">
      <c r="A22" t="inlineStr">
        <is>
          <t>Nuwey</t>
        </is>
      </c>
      <c r="B22" t="inlineStr">
        <is>
          <t>Hard</t>
        </is>
      </c>
      <c r="C22" s="7" t="n">
        <v>2000</v>
      </c>
      <c r="D22" s="7" t="n">
        <v>2000</v>
      </c>
      <c r="E22" s="7" t="n">
        <v>7000</v>
      </c>
      <c r="F22" s="7" t="n">
        <v>0</v>
      </c>
      <c r="G22" s="7" t="n">
        <v>0</v>
      </c>
      <c r="H22" s="21">
        <f>Levers!$D$16*(1-(Levers!$D$10/Levers!$D$12))*C22/SUMIF($B$5:$B$22,"Hard",$C$5:$C$22)</f>
        <v/>
      </c>
      <c r="I22" s="21">
        <f>Levers!$D$20*E22/$E$23</f>
        <v/>
      </c>
      <c r="J22" s="21">
        <f>Levers!$D$24*D22/$D$23</f>
        <v/>
      </c>
      <c r="K22" s="21">
        <f>Levers!$D$27*G22/$G$23</f>
        <v/>
      </c>
      <c r="L22" s="21">
        <f>Levers!$D$29*C22/$C$23</f>
        <v/>
      </c>
      <c r="M22" s="21">
        <f>-(H22+I22+J22)*Inputs!$D$43</f>
        <v/>
      </c>
      <c r="N22" s="21">
        <f>SUM(H22:M22)</f>
        <v/>
      </c>
      <c r="O22" s="10">
        <f>N22/$N$23</f>
        <v/>
      </c>
      <c r="P22" s="33">
        <f>IF(C22&gt;0,N22/C22,0)</f>
        <v/>
      </c>
    </row>
    <row r="23">
      <c r="A23" s="4" t="inlineStr">
        <is>
          <t>Total</t>
        </is>
      </c>
      <c r="C23" s="22">
        <f>SUM(C5:C22)</f>
        <v/>
      </c>
      <c r="D23" s="22">
        <f>SUM(D5:D22)</f>
        <v/>
      </c>
      <c r="E23" s="22">
        <f>SUM(E5:E22)</f>
        <v/>
      </c>
      <c r="F23" s="22">
        <f>SUM(F5:F22)</f>
        <v/>
      </c>
      <c r="G23" s="22">
        <f>SUM(G5:G22)</f>
        <v/>
      </c>
      <c r="H23" s="22">
        <f>SUM(H5:H22)</f>
        <v/>
      </c>
      <c r="I23" s="22">
        <f>SUM(I5:I22)</f>
        <v/>
      </c>
      <c r="J23" s="22">
        <f>SUM(J5:J22)</f>
        <v/>
      </c>
      <c r="K23" s="22">
        <f>SUM(K5:K22)</f>
        <v/>
      </c>
      <c r="L23" s="22">
        <f>SUM(L5:L22)</f>
        <v/>
      </c>
      <c r="M23" s="22">
        <f>SUM(M5:M22)</f>
        <v/>
      </c>
      <c r="N23" s="22">
        <f>SUM(N5:N22)</f>
        <v/>
      </c>
      <c r="O23" s="30">
        <f>SUM(O5:O22)</f>
        <v/>
      </c>
      <c r="P23" s="33">
        <f>N23/C23</f>
        <v/>
      </c>
    </row>
    <row r="24">
      <c r="A24" s="5" t="inlineStr">
        <is>
          <t>Check: Levers base annual benefit</t>
        </is>
      </c>
      <c r="N24" s="21">
        <f>Levers!$D$33</f>
        <v/>
      </c>
    </row>
    <row r="26">
      <c r="A26" s="4" t="inlineStr">
        <is>
          <t>Summary</t>
        </is>
      </c>
    </row>
    <row r="27">
      <c r="A27" t="inlineStr">
        <is>
          <t>U.S. Polo Assn.</t>
        </is>
      </c>
      <c r="C27" s="10">
        <f>O5</f>
        <v/>
      </c>
    </row>
    <row r="28">
      <c r="A28" t="inlineStr">
        <is>
          <t>Other softline brands (excl Cardio Bunny)</t>
        </is>
      </c>
      <c r="C28" s="10">
        <f>SUMIF($B$5:$B$22,"Soft",$O$5:$O$22)-O5-O13</f>
        <v/>
      </c>
    </row>
    <row r="29">
      <c r="A29" t="inlineStr">
        <is>
          <t>Cardio Bunny</t>
        </is>
      </c>
      <c r="C29" s="10">
        <f>O13</f>
        <v/>
      </c>
    </row>
    <row r="30">
      <c r="A30" t="inlineStr">
        <is>
          <t>Hardline brands</t>
        </is>
      </c>
      <c r="C30" s="10">
        <f>SUMIF($B$5:$B$22,"Hard",$O$5:$O$22)</f>
        <v/>
      </c>
    </row>
    <row r="32">
      <c r="A32" s="5" t="inlineStr">
        <is>
          <t>Stock-out proxy is softline only (03 caveat 9); Puma has no Namshi size/fit figure (n/a in 03), set to 0.</t>
        </is>
      </c>
    </row>
  </sheetData>
  <mergeCells count="1"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2026-10-26T04:56:04Z</dcterms:created>
  <dcterms:modified xsi:type="dcterms:W3CDTF">2026-10-26T04:56:04Z</dcterms:modified>
</cp:coreProperties>
</file>